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none" codeName="ThisWorkbook" defaultThemeVersion="124226"/>
  <bookViews>
    <workbookView xWindow="480" yWindow="75" windowWidth="18195" windowHeight="11820"/>
  </bookViews>
  <sheets>
    <sheet name="DATA" sheetId="2" r:id="rId1"/>
    <sheet name="LEEG" sheetId="29" r:id="rId2"/>
  </sheets>
  <functionGroups builtInGroupCount="17"/>
  <definedNames>
    <definedName name="_xlnm.Print_Area" localSheetId="0">DATA!$C$1:$E$31</definedName>
    <definedName name="_xlnm.Print_Area" localSheetId="1">LEEG!$H$1:$Q$61</definedName>
    <definedName name="_xlnm.Print_Titles" localSheetId="1">LEEG!$1:$3</definedName>
    <definedName name="BijzonderheidTeken">OFFSET(DATA!$H$2,0,0,COUNTA(DATA!$H:$H)-1,3)</definedName>
    <definedName name="Leveranciers">DATA!$A:$B</definedName>
  </definedNames>
  <calcPr calcId="145621"/>
</workbook>
</file>

<file path=xl/calcChain.xml><?xml version="1.0" encoding="utf-8"?>
<calcChain xmlns="http://schemas.openxmlformats.org/spreadsheetml/2006/main">
  <c r="G5" i="29" l="1"/>
  <c r="G6" i="29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I5" i="29"/>
  <c r="J5" i="29"/>
  <c r="K5" i="29"/>
  <c r="L5" i="29"/>
  <c r="M5" i="29"/>
  <c r="I6" i="29"/>
  <c r="J6" i="29"/>
  <c r="K6" i="29"/>
  <c r="L6" i="29"/>
  <c r="M6" i="29"/>
  <c r="I7" i="29"/>
  <c r="J7" i="29"/>
  <c r="K7" i="29"/>
  <c r="L7" i="29"/>
  <c r="M7" i="29"/>
  <c r="I8" i="29"/>
  <c r="J8" i="29"/>
  <c r="K8" i="29"/>
  <c r="L8" i="29"/>
  <c r="M8" i="29"/>
  <c r="I9" i="29"/>
  <c r="J9" i="29"/>
  <c r="K9" i="29"/>
  <c r="L9" i="29"/>
  <c r="M9" i="29"/>
  <c r="I10" i="29"/>
  <c r="J10" i="29"/>
  <c r="K10" i="29"/>
  <c r="L10" i="29"/>
  <c r="M10" i="29"/>
  <c r="I11" i="29"/>
  <c r="J11" i="29"/>
  <c r="K11" i="29"/>
  <c r="L11" i="29"/>
  <c r="M11" i="29"/>
  <c r="I12" i="29"/>
  <c r="J12" i="29"/>
  <c r="K12" i="29"/>
  <c r="L12" i="29"/>
  <c r="M12" i="29"/>
  <c r="I13" i="29"/>
  <c r="J13" i="29"/>
  <c r="K13" i="29"/>
  <c r="L13" i="29"/>
  <c r="M13" i="29"/>
  <c r="I14" i="29"/>
  <c r="J14" i="29"/>
  <c r="K14" i="29"/>
  <c r="L14" i="29"/>
  <c r="M14" i="29"/>
  <c r="I15" i="29"/>
  <c r="J15" i="29"/>
  <c r="K15" i="29"/>
  <c r="L15" i="29"/>
  <c r="M15" i="29"/>
  <c r="I16" i="29"/>
  <c r="J16" i="29"/>
  <c r="K16" i="29"/>
  <c r="L16" i="29"/>
  <c r="M16" i="29"/>
  <c r="I17" i="29"/>
  <c r="J17" i="29"/>
  <c r="K17" i="29"/>
  <c r="L17" i="29"/>
  <c r="M17" i="29"/>
  <c r="I18" i="29"/>
  <c r="J18" i="29"/>
  <c r="K18" i="29"/>
  <c r="L18" i="29"/>
  <c r="M18" i="29"/>
  <c r="I19" i="29"/>
  <c r="J19" i="29"/>
  <c r="K19" i="29"/>
  <c r="L19" i="29"/>
  <c r="M19" i="29"/>
  <c r="I20" i="29"/>
  <c r="J20" i="29"/>
  <c r="K20" i="29"/>
  <c r="L20" i="29"/>
  <c r="M20" i="29"/>
  <c r="I21" i="29"/>
  <c r="J21" i="29"/>
  <c r="K21" i="29"/>
  <c r="L21" i="29"/>
  <c r="M21" i="29"/>
  <c r="I22" i="29"/>
  <c r="J22" i="29"/>
  <c r="K22" i="29"/>
  <c r="L22" i="29"/>
  <c r="M22" i="29"/>
  <c r="I23" i="29"/>
  <c r="J23" i="29"/>
  <c r="K23" i="29"/>
  <c r="L23" i="29"/>
  <c r="M23" i="29"/>
  <c r="I24" i="29"/>
  <c r="J24" i="29"/>
  <c r="K24" i="29"/>
  <c r="L24" i="29"/>
  <c r="M24" i="29"/>
  <c r="I25" i="29"/>
  <c r="J25" i="29"/>
  <c r="K25" i="29"/>
  <c r="L25" i="29"/>
  <c r="M25" i="29"/>
  <c r="I26" i="29"/>
  <c r="J26" i="29"/>
  <c r="K26" i="29"/>
  <c r="L26" i="29"/>
  <c r="M26" i="29"/>
  <c r="I27" i="29"/>
  <c r="J27" i="29"/>
  <c r="K27" i="29"/>
  <c r="L27" i="29"/>
  <c r="M27" i="29"/>
  <c r="I28" i="29"/>
  <c r="J28" i="29"/>
  <c r="K28" i="29"/>
  <c r="L28" i="29"/>
  <c r="M28" i="29"/>
  <c r="I29" i="29"/>
  <c r="J29" i="29"/>
  <c r="K29" i="29"/>
  <c r="L29" i="29"/>
  <c r="M29" i="29"/>
  <c r="I30" i="29"/>
  <c r="J30" i="29"/>
  <c r="K30" i="29"/>
  <c r="L30" i="29"/>
  <c r="M30" i="29"/>
  <c r="I31" i="29"/>
  <c r="J31" i="29"/>
  <c r="K31" i="29"/>
  <c r="L31" i="29"/>
  <c r="M31" i="29"/>
  <c r="I32" i="29"/>
  <c r="J32" i="29"/>
  <c r="K32" i="29"/>
  <c r="L32" i="29"/>
  <c r="M32" i="29"/>
  <c r="I33" i="29"/>
  <c r="J33" i="29"/>
  <c r="K33" i="29"/>
  <c r="L33" i="29"/>
  <c r="M33" i="29"/>
  <c r="I34" i="29"/>
  <c r="J34" i="29"/>
  <c r="K34" i="29"/>
  <c r="L34" i="29"/>
  <c r="M34" i="29"/>
  <c r="I35" i="29"/>
  <c r="J35" i="29"/>
  <c r="K35" i="29"/>
  <c r="L35" i="29"/>
  <c r="M35" i="29"/>
  <c r="I36" i="29"/>
  <c r="J36" i="29"/>
  <c r="K36" i="29"/>
  <c r="L36" i="29"/>
  <c r="M36" i="29"/>
  <c r="I37" i="29"/>
  <c r="J37" i="29"/>
  <c r="K37" i="29"/>
  <c r="L37" i="29"/>
  <c r="M37" i="29"/>
  <c r="I38" i="29"/>
  <c r="J38" i="29"/>
  <c r="K38" i="29"/>
  <c r="L38" i="29"/>
  <c r="M38" i="29"/>
  <c r="I39" i="29"/>
  <c r="J39" i="29"/>
  <c r="K39" i="29"/>
  <c r="L39" i="29"/>
  <c r="M39" i="29"/>
  <c r="I40" i="29"/>
  <c r="J40" i="29"/>
  <c r="K40" i="29"/>
  <c r="L40" i="29"/>
  <c r="M40" i="29"/>
  <c r="I41" i="29"/>
  <c r="J41" i="29"/>
  <c r="K41" i="29"/>
  <c r="L41" i="29"/>
  <c r="M41" i="29"/>
  <c r="I42" i="29"/>
  <c r="J42" i="29"/>
  <c r="K42" i="29"/>
  <c r="L42" i="29"/>
  <c r="M42" i="29"/>
  <c r="I43" i="29"/>
  <c r="J43" i="29"/>
  <c r="K43" i="29"/>
  <c r="L43" i="29"/>
  <c r="M43" i="29"/>
  <c r="I44" i="29"/>
  <c r="J44" i="29"/>
  <c r="K44" i="29"/>
  <c r="L44" i="29"/>
  <c r="M44" i="29"/>
  <c r="I45" i="29"/>
  <c r="J45" i="29"/>
  <c r="K45" i="29"/>
  <c r="L45" i="29"/>
  <c r="M45" i="29"/>
  <c r="I46" i="29"/>
  <c r="J46" i="29"/>
  <c r="K46" i="29"/>
  <c r="L46" i="29"/>
  <c r="M46" i="29"/>
  <c r="I47" i="29"/>
  <c r="J47" i="29"/>
  <c r="K47" i="29"/>
  <c r="L47" i="29"/>
  <c r="M47" i="29"/>
  <c r="I48" i="29"/>
  <c r="J48" i="29"/>
  <c r="K48" i="29"/>
  <c r="L48" i="29"/>
  <c r="M48" i="29"/>
  <c r="I49" i="29"/>
  <c r="J49" i="29"/>
  <c r="K49" i="29"/>
  <c r="L49" i="29"/>
  <c r="M49" i="29"/>
  <c r="I50" i="29"/>
  <c r="J50" i="29"/>
  <c r="K50" i="29"/>
  <c r="L50" i="29"/>
  <c r="M50" i="29"/>
  <c r="I51" i="29"/>
  <c r="J51" i="29"/>
  <c r="K51" i="29"/>
  <c r="L51" i="29"/>
  <c r="M51" i="29"/>
  <c r="I52" i="29"/>
  <c r="J52" i="29"/>
  <c r="K52" i="29"/>
  <c r="L52" i="29"/>
  <c r="M52" i="29"/>
  <c r="I53" i="29"/>
  <c r="J53" i="29"/>
  <c r="K53" i="29"/>
  <c r="L53" i="29"/>
  <c r="M53" i="29"/>
  <c r="I54" i="29"/>
  <c r="J54" i="29"/>
  <c r="K54" i="29"/>
  <c r="L54" i="29"/>
  <c r="M54" i="29"/>
  <c r="I55" i="29"/>
  <c r="J55" i="29"/>
  <c r="K55" i="29"/>
  <c r="L55" i="29"/>
  <c r="M55" i="29"/>
  <c r="I56" i="29"/>
  <c r="J56" i="29"/>
  <c r="K56" i="29"/>
  <c r="L56" i="29"/>
  <c r="M56" i="29"/>
  <c r="I57" i="29"/>
  <c r="J57" i="29"/>
  <c r="K57" i="29"/>
  <c r="L57" i="29"/>
  <c r="M57" i="29"/>
  <c r="I58" i="29"/>
  <c r="J58" i="29"/>
  <c r="K58" i="29"/>
  <c r="L58" i="29"/>
  <c r="M58" i="29"/>
  <c r="I59" i="29"/>
  <c r="J59" i="29"/>
  <c r="K59" i="29"/>
  <c r="L59" i="29"/>
  <c r="M59" i="29"/>
  <c r="I60" i="29"/>
  <c r="J60" i="29"/>
  <c r="K60" i="29"/>
  <c r="L60" i="29"/>
  <c r="M60" i="29"/>
  <c r="I61" i="29"/>
  <c r="J61" i="29"/>
  <c r="K61" i="29"/>
  <c r="L61" i="29"/>
  <c r="M61" i="29"/>
  <c r="K1" i="29" l="1"/>
  <c r="L4" i="29" l="1"/>
  <c r="G4" i="29" l="1"/>
  <c r="H4" i="29" s="1"/>
  <c r="H61" i="29"/>
  <c r="H60" i="29"/>
  <c r="H59" i="29"/>
  <c r="H58" i="29"/>
  <c r="H57" i="29"/>
  <c r="H56" i="29"/>
  <c r="H55" i="29"/>
  <c r="H54" i="29"/>
  <c r="H53" i="29"/>
  <c r="H52" i="29"/>
  <c r="H51" i="29"/>
  <c r="H50" i="29"/>
  <c r="H49" i="29"/>
  <c r="H48" i="29"/>
  <c r="H47" i="29"/>
  <c r="H46" i="29"/>
  <c r="H45" i="29"/>
  <c r="H44" i="29"/>
  <c r="H43" i="29"/>
  <c r="H42" i="29"/>
  <c r="H41" i="29"/>
  <c r="H40" i="29"/>
  <c r="H39" i="29"/>
  <c r="H38" i="29"/>
  <c r="H37" i="29"/>
  <c r="H36" i="29"/>
  <c r="H35" i="29"/>
  <c r="H34" i="29"/>
  <c r="H33" i="29"/>
  <c r="Q32" i="29"/>
  <c r="Q61" i="29" s="1"/>
  <c r="P32" i="29"/>
  <c r="P61" i="29" s="1"/>
  <c r="O32" i="29"/>
  <c r="O61" i="29" s="1"/>
  <c r="H32" i="29"/>
  <c r="Q31" i="29"/>
  <c r="Q60" i="29" s="1"/>
  <c r="P31" i="29"/>
  <c r="P60" i="29" s="1"/>
  <c r="O31" i="29"/>
  <c r="O60" i="29" s="1"/>
  <c r="H31" i="29"/>
  <c r="Q30" i="29"/>
  <c r="Q59" i="29" s="1"/>
  <c r="P30" i="29"/>
  <c r="P59" i="29" s="1"/>
  <c r="O30" i="29"/>
  <c r="O59" i="29" s="1"/>
  <c r="H30" i="29"/>
  <c r="Q29" i="29"/>
  <c r="Q58" i="29" s="1"/>
  <c r="P29" i="29"/>
  <c r="P58" i="29" s="1"/>
  <c r="O29" i="29"/>
  <c r="O58" i="29" s="1"/>
  <c r="H29" i="29"/>
  <c r="Q28" i="29"/>
  <c r="Q57" i="29" s="1"/>
  <c r="P28" i="29"/>
  <c r="P57" i="29" s="1"/>
  <c r="O28" i="29"/>
  <c r="O57" i="29" s="1"/>
  <c r="H28" i="29"/>
  <c r="Q27" i="29"/>
  <c r="Q56" i="29" s="1"/>
  <c r="P27" i="29"/>
  <c r="P56" i="29" s="1"/>
  <c r="O27" i="29"/>
  <c r="O56" i="29" s="1"/>
  <c r="H27" i="29"/>
  <c r="Q26" i="29"/>
  <c r="Q55" i="29" s="1"/>
  <c r="P26" i="29"/>
  <c r="P55" i="29" s="1"/>
  <c r="O26" i="29"/>
  <c r="O55" i="29" s="1"/>
  <c r="H26" i="29"/>
  <c r="Q25" i="29"/>
  <c r="Q54" i="29" s="1"/>
  <c r="P25" i="29"/>
  <c r="P54" i="29" s="1"/>
  <c r="O25" i="29"/>
  <c r="O54" i="29" s="1"/>
  <c r="H25" i="29"/>
  <c r="Q24" i="29"/>
  <c r="Q53" i="29" s="1"/>
  <c r="P24" i="29"/>
  <c r="P53" i="29" s="1"/>
  <c r="O24" i="29"/>
  <c r="O53" i="29" s="1"/>
  <c r="H24" i="29"/>
  <c r="Q23" i="29"/>
  <c r="Q52" i="29" s="1"/>
  <c r="P23" i="29"/>
  <c r="P52" i="29" s="1"/>
  <c r="O23" i="29"/>
  <c r="O52" i="29" s="1"/>
  <c r="H23" i="29"/>
  <c r="Q22" i="29"/>
  <c r="Q51" i="29" s="1"/>
  <c r="P22" i="29"/>
  <c r="P51" i="29" s="1"/>
  <c r="O22" i="29"/>
  <c r="O51" i="29" s="1"/>
  <c r="H22" i="29"/>
  <c r="Q21" i="29"/>
  <c r="Q50" i="29" s="1"/>
  <c r="P21" i="29"/>
  <c r="P50" i="29" s="1"/>
  <c r="O21" i="29"/>
  <c r="O50" i="29" s="1"/>
  <c r="H21" i="29"/>
  <c r="Q20" i="29"/>
  <c r="Q49" i="29" s="1"/>
  <c r="P20" i="29"/>
  <c r="P49" i="29" s="1"/>
  <c r="O20" i="29"/>
  <c r="O49" i="29" s="1"/>
  <c r="H20" i="29"/>
  <c r="Q19" i="29"/>
  <c r="Q48" i="29" s="1"/>
  <c r="P19" i="29"/>
  <c r="P48" i="29" s="1"/>
  <c r="O19" i="29"/>
  <c r="O48" i="29" s="1"/>
  <c r="H19" i="29"/>
  <c r="Q18" i="29"/>
  <c r="Q47" i="29" s="1"/>
  <c r="P18" i="29"/>
  <c r="P47" i="29" s="1"/>
  <c r="O18" i="29"/>
  <c r="O47" i="29" s="1"/>
  <c r="H18" i="29"/>
  <c r="Q17" i="29"/>
  <c r="Q46" i="29" s="1"/>
  <c r="P17" i="29"/>
  <c r="P46" i="29" s="1"/>
  <c r="O17" i="29"/>
  <c r="O46" i="29" s="1"/>
  <c r="H17" i="29"/>
  <c r="Q16" i="29"/>
  <c r="Q45" i="29" s="1"/>
  <c r="P16" i="29"/>
  <c r="P45" i="29" s="1"/>
  <c r="O16" i="29"/>
  <c r="O45" i="29" s="1"/>
  <c r="H16" i="29"/>
  <c r="Q15" i="29"/>
  <c r="Q44" i="29" s="1"/>
  <c r="P15" i="29"/>
  <c r="P44" i="29" s="1"/>
  <c r="O15" i="29"/>
  <c r="O44" i="29" s="1"/>
  <c r="H15" i="29"/>
  <c r="Q14" i="29"/>
  <c r="Q43" i="29" s="1"/>
  <c r="P14" i="29"/>
  <c r="P43" i="29" s="1"/>
  <c r="O14" i="29"/>
  <c r="O43" i="29" s="1"/>
  <c r="H14" i="29"/>
  <c r="Q13" i="29"/>
  <c r="Q42" i="29" s="1"/>
  <c r="P13" i="29"/>
  <c r="P42" i="29" s="1"/>
  <c r="O13" i="29"/>
  <c r="O42" i="29" s="1"/>
  <c r="H13" i="29"/>
  <c r="Q12" i="29"/>
  <c r="Q41" i="29" s="1"/>
  <c r="P12" i="29"/>
  <c r="P41" i="29" s="1"/>
  <c r="O12" i="29"/>
  <c r="O41" i="29" s="1"/>
  <c r="H12" i="29"/>
  <c r="Q11" i="29"/>
  <c r="Q40" i="29" s="1"/>
  <c r="P11" i="29"/>
  <c r="P40" i="29" s="1"/>
  <c r="O11" i="29"/>
  <c r="O40" i="29" s="1"/>
  <c r="H11" i="29"/>
  <c r="Q10" i="29"/>
  <c r="Q39" i="29" s="1"/>
  <c r="P10" i="29"/>
  <c r="P39" i="29" s="1"/>
  <c r="O10" i="29"/>
  <c r="O39" i="29" s="1"/>
  <c r="H10" i="29"/>
  <c r="Q9" i="29"/>
  <c r="Q38" i="29" s="1"/>
  <c r="P9" i="29"/>
  <c r="P38" i="29" s="1"/>
  <c r="O9" i="29"/>
  <c r="O38" i="29" s="1"/>
  <c r="H9" i="29"/>
  <c r="Q8" i="29"/>
  <c r="Q37" i="29" s="1"/>
  <c r="P8" i="29"/>
  <c r="P37" i="29" s="1"/>
  <c r="O8" i="29"/>
  <c r="O37" i="29" s="1"/>
  <c r="H8" i="29"/>
  <c r="Q7" i="29"/>
  <c r="Q36" i="29" s="1"/>
  <c r="P7" i="29"/>
  <c r="P36" i="29" s="1"/>
  <c r="O7" i="29"/>
  <c r="O36" i="29" s="1"/>
  <c r="H7" i="29"/>
  <c r="Q6" i="29"/>
  <c r="Q35" i="29" s="1"/>
  <c r="P6" i="29"/>
  <c r="P35" i="29" s="1"/>
  <c r="O6" i="29"/>
  <c r="O35" i="29" s="1"/>
  <c r="H6" i="29"/>
  <c r="Q5" i="29"/>
  <c r="Q34" i="29" s="1"/>
  <c r="P5" i="29"/>
  <c r="P34" i="29" s="1"/>
  <c r="O5" i="29"/>
  <c r="O34" i="29" s="1"/>
  <c r="H5" i="29"/>
  <c r="Q4" i="29"/>
  <c r="Q33" i="29" s="1"/>
  <c r="P4" i="29"/>
  <c r="P33" i="29" s="1"/>
  <c r="O4" i="29"/>
  <c r="O33" i="29" s="1"/>
  <c r="M4" i="29"/>
  <c r="K4" i="29"/>
  <c r="J4" i="29"/>
  <c r="I4" i="29"/>
  <c r="L1" i="29"/>
  <c r="B1" i="29"/>
  <c r="H1" i="29" l="1"/>
  <c r="C31" i="2" l="1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3" i="2"/>
  <c r="C4" i="2" l="1"/>
  <c r="C5" i="2" l="1"/>
  <c r="C6" i="2" l="1"/>
  <c r="C7" i="2" l="1"/>
  <c r="C8" i="2" l="1"/>
  <c r="C9" i="2" l="1"/>
  <c r="C10" i="2" l="1"/>
  <c r="C11" i="2" l="1"/>
  <c r="C12" i="2" l="1"/>
  <c r="C13" i="2" l="1"/>
  <c r="C14" i="2" l="1"/>
  <c r="C15" i="2" l="1"/>
  <c r="C16" i="2" l="1"/>
</calcChain>
</file>

<file path=xl/sharedStrings.xml><?xml version="1.0" encoding="utf-8"?>
<sst xmlns="http://schemas.openxmlformats.org/spreadsheetml/2006/main" count="59" uniqueCount="57">
  <si>
    <t>Analyses week</t>
  </si>
  <si>
    <t>Leverancier</t>
  </si>
  <si>
    <t>code</t>
  </si>
  <si>
    <t>naam</t>
  </si>
  <si>
    <t>aantal</t>
  </si>
  <si>
    <t>Monster info</t>
  </si>
  <si>
    <t>maat/specificatie</t>
  </si>
  <si>
    <t>Partij info</t>
  </si>
  <si>
    <t>Nr.</t>
  </si>
  <si>
    <t>Code</t>
  </si>
  <si>
    <t>Naam</t>
  </si>
  <si>
    <t>zoektest</t>
  </si>
  <si>
    <t>Product</t>
  </si>
  <si>
    <t>Legenda analyses</t>
  </si>
  <si>
    <t>Paraquat</t>
  </si>
  <si>
    <t>Analyse</t>
  </si>
  <si>
    <t>op</t>
  </si>
  <si>
    <t>Droge stof</t>
  </si>
  <si>
    <t>Ruw vet</t>
  </si>
  <si>
    <t>Partij</t>
  </si>
  <si>
    <t>Huidig wk</t>
  </si>
  <si>
    <t>Microbiologische</t>
  </si>
  <si>
    <t>Anlyseren op</t>
  </si>
  <si>
    <t>Bijzonderheid</t>
  </si>
  <si>
    <t>aant</t>
  </si>
  <si>
    <t>00.335.359</t>
  </si>
  <si>
    <t xml:space="preserve">          Synergy docnr.:</t>
  </si>
  <si>
    <t>Fosetyl-AL (6802)</t>
  </si>
  <si>
    <t>Combi (5080)</t>
  </si>
  <si>
    <t>Carnauba wax (6107)</t>
  </si>
  <si>
    <t>Chloormequat (4361)</t>
  </si>
  <si>
    <t>DDAC/BAC (6653)</t>
  </si>
  <si>
    <t>Dithiocarbamaten (3774)</t>
  </si>
  <si>
    <t>Ethepon (3775)</t>
  </si>
  <si>
    <t>Fenbutation-oxide (6105)</t>
  </si>
  <si>
    <t>Morfoline (6170)</t>
  </si>
  <si>
    <t>Per-chloraat (6762)</t>
  </si>
  <si>
    <t>Zuur/Suiker (eigen)</t>
  </si>
  <si>
    <t>Sap (eigen)</t>
  </si>
  <si>
    <t>Teken</t>
  </si>
  <si>
    <t>Bijzonderheid omschrijving</t>
  </si>
  <si>
    <t>Combinatie met andere partij?</t>
  </si>
  <si>
    <t>Versturen: ctrl+shift+s</t>
  </si>
  <si>
    <t>Email verzenden</t>
  </si>
  <si>
    <t>Aan</t>
  </si>
  <si>
    <t>CC</t>
  </si>
  <si>
    <t>BCC</t>
  </si>
  <si>
    <t>Onderwerp</t>
  </si>
  <si>
    <t>Begeleidende tekst</t>
  </si>
  <si>
    <t>BugFix indicator</t>
  </si>
  <si>
    <t>Counter</t>
  </si>
  <si>
    <t>SubName</t>
  </si>
  <si>
    <t>Erl</t>
  </si>
  <si>
    <t>Err.Number</t>
  </si>
  <si>
    <t>Err.Source</t>
  </si>
  <si>
    <t>Err.Description</t>
  </si>
  <si>
    <t>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</si>
</sst>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 &quot;€&quot;\ * #,##0.00_ ;_ &quot;€&quot;\ * \-#,##0.00_ ;_ &quot;€&quot;\ * &quot;-&quot;??_ ;_ @_ 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 val="doubleAccounting"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44" fontId="9" fillId="0" borderId="0" applyFont="0" applyFill="0" applyBorder="0" applyAlignment="0" applyProtection="0"/>
  </cellStyleXfs>
  <cellXfs count="92">
    <xf numFmtId="0" fontId="0" fillId="0" borderId="0" xfId="0"/>
    <xf numFmtId="0" fontId="2" fillId="0" borderId="1" xfId="0" applyFont="1" applyBorder="1"/>
    <xf numFmtId="0" fontId="3" fillId="0" borderId="0" xfId="0" applyFont="1"/>
    <xf numFmtId="0" fontId="5" fillId="0" borderId="0" xfId="0" applyFont="1"/>
    <xf numFmtId="0" fontId="3" fillId="0" borderId="0" xfId="0" applyFont="1" applyBorder="1"/>
    <xf numFmtId="0" fontId="0" fillId="0" borderId="0" xfId="0" applyBorder="1"/>
    <xf numFmtId="0" fontId="4" fillId="0" borderId="0" xfId="0" applyFont="1" applyBorder="1"/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>
      <alignment horizontal="left"/>
    </xf>
    <xf numFmtId="0" fontId="1" fillId="0" borderId="10" xfId="0" applyFont="1" applyBorder="1"/>
    <xf numFmtId="0" fontId="1" fillId="0" borderId="1" xfId="0" applyFont="1" applyBorder="1" applyAlignment="1">
      <alignment vertical="top"/>
    </xf>
    <xf numFmtId="0" fontId="1" fillId="0" borderId="3" xfId="0" applyFont="1" applyBorder="1" applyAlignment="1"/>
    <xf numFmtId="49" fontId="0" fillId="0" borderId="0" xfId="0" applyNumberFormat="1" applyBorder="1" applyAlignment="1">
      <alignment horizontal="left"/>
    </xf>
    <xf numFmtId="44" fontId="0" fillId="0" borderId="0" xfId="1" applyFont="1"/>
    <xf numFmtId="1" fontId="8" fillId="0" borderId="0" xfId="0" applyNumberFormat="1" applyFont="1" applyBorder="1" applyAlignment="1">
      <alignment horizontal="left"/>
    </xf>
    <xf numFmtId="1" fontId="0" fillId="0" borderId="0" xfId="0" applyNumberFormat="1"/>
    <xf numFmtId="44" fontId="8" fillId="0" borderId="0" xfId="0" applyNumberFormat="1" applyFont="1" applyBorder="1" applyProtection="1"/>
    <xf numFmtId="0" fontId="0" fillId="0" borderId="16" xfId="0" applyBorder="1" applyProtection="1">
      <protection locked="0"/>
    </xf>
    <xf numFmtId="49" fontId="0" fillId="0" borderId="0" xfId="0" applyNumberFormat="1" applyFont="1" applyBorder="1" applyAlignment="1">
      <alignment horizontal="left"/>
    </xf>
    <xf numFmtId="49" fontId="1" fillId="0" borderId="0" xfId="0" applyNumberFormat="1" applyFont="1" applyAlignment="1">
      <alignment horizontal="left"/>
    </xf>
    <xf numFmtId="49" fontId="1" fillId="0" borderId="0" xfId="0" applyNumberFormat="1" applyFont="1" applyBorder="1" applyAlignment="1">
      <alignment vertical="top"/>
    </xf>
    <xf numFmtId="49" fontId="1" fillId="0" borderId="0" xfId="0" applyNumberFormat="1" applyFont="1" applyBorder="1" applyAlignment="1"/>
    <xf numFmtId="49" fontId="0" fillId="0" borderId="0" xfId="0" applyNumberFormat="1"/>
    <xf numFmtId="49" fontId="1" fillId="0" borderId="10" xfId="0" applyNumberFormat="1" applyFont="1" applyBorder="1"/>
    <xf numFmtId="49" fontId="0" fillId="0" borderId="16" xfId="0" applyNumberFormat="1" applyFont="1" applyBorder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15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8" xfId="0" applyNumberFormat="1" applyBorder="1" applyProtection="1">
      <protection locked="0"/>
    </xf>
    <xf numFmtId="49" fontId="0" fillId="0" borderId="0" xfId="0" applyNumberFormat="1" applyBorder="1"/>
    <xf numFmtId="0" fontId="10" fillId="2" borderId="4" xfId="0" applyFont="1" applyFill="1" applyBorder="1" applyAlignment="1">
      <alignment horizontal="center" vertical="center"/>
    </xf>
    <xf numFmtId="49" fontId="1" fillId="2" borderId="3" xfId="0" applyNumberFormat="1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right" vertical="top"/>
    </xf>
    <xf numFmtId="0" fontId="0" fillId="2" borderId="3" xfId="0" applyFill="1" applyBorder="1" applyAlignment="1">
      <alignment horizontal="left"/>
    </xf>
    <xf numFmtId="0" fontId="0" fillId="2" borderId="5" xfId="0" applyFill="1" applyBorder="1"/>
    <xf numFmtId="0" fontId="8" fillId="2" borderId="0" xfId="0" applyFont="1" applyFill="1" applyAlignment="1">
      <alignment horizontal="left"/>
    </xf>
    <xf numFmtId="0" fontId="8" fillId="2" borderId="0" xfId="0" applyFont="1" applyFill="1"/>
    <xf numFmtId="44" fontId="8" fillId="2" borderId="0" xfId="0" applyNumberFormat="1" applyFont="1" applyFill="1" applyBorder="1" applyProtection="1"/>
    <xf numFmtId="0" fontId="1" fillId="2" borderId="13" xfId="0" applyFont="1" applyFill="1" applyBorder="1" applyAlignment="1">
      <alignment horizontal="left"/>
    </xf>
    <xf numFmtId="0" fontId="0" fillId="2" borderId="8" xfId="0" applyFill="1" applyBorder="1"/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/>
    <xf numFmtId="0" fontId="1" fillId="2" borderId="11" xfId="0" applyFont="1" applyFill="1" applyBorder="1"/>
    <xf numFmtId="0" fontId="1" fillId="2" borderId="9" xfId="0" applyFont="1" applyFill="1" applyBorder="1" applyAlignment="1">
      <alignment horizontal="center"/>
    </xf>
    <xf numFmtId="0" fontId="0" fillId="2" borderId="11" xfId="0" applyFill="1" applyBorder="1"/>
    <xf numFmtId="0" fontId="0" fillId="2" borderId="13" xfId="0" applyFill="1" applyBorder="1"/>
    <xf numFmtId="0" fontId="0" fillId="2" borderId="8" xfId="0" applyFill="1" applyBorder="1" applyProtection="1"/>
    <xf numFmtId="0" fontId="4" fillId="2" borderId="8" xfId="0" applyFont="1" applyFill="1" applyBorder="1" applyProtection="1"/>
    <xf numFmtId="0" fontId="0" fillId="2" borderId="2" xfId="0" applyFill="1" applyBorder="1" applyAlignment="1" applyProtection="1">
      <alignment horizontal="left"/>
    </xf>
    <xf numFmtId="0" fontId="8" fillId="2" borderId="0" xfId="0" applyFont="1" applyFill="1" applyBorder="1" applyAlignment="1">
      <alignment horizontal="left"/>
    </xf>
    <xf numFmtId="0" fontId="8" fillId="2" borderId="0" xfId="0" applyFont="1" applyFill="1" applyBorder="1" applyProtection="1"/>
    <xf numFmtId="0" fontId="0" fillId="2" borderId="2" xfId="0" quotePrefix="1" applyFill="1" applyBorder="1" applyAlignment="1" applyProtection="1">
      <alignment horizontal="left"/>
    </xf>
    <xf numFmtId="0" fontId="0" fillId="2" borderId="14" xfId="0" applyFill="1" applyBorder="1"/>
    <xf numFmtId="0" fontId="0" fillId="2" borderId="7" xfId="0" applyFill="1" applyBorder="1" applyProtection="1"/>
    <xf numFmtId="0" fontId="4" fillId="2" borderId="7" xfId="0" applyFont="1" applyFill="1" applyBorder="1" applyProtection="1"/>
    <xf numFmtId="0" fontId="0" fillId="2" borderId="6" xfId="0" applyFill="1" applyBorder="1" applyAlignment="1" applyProtection="1">
      <alignment horizontal="left"/>
    </xf>
    <xf numFmtId="0" fontId="0" fillId="2" borderId="7" xfId="0" applyFill="1" applyBorder="1"/>
    <xf numFmtId="1" fontId="1" fillId="0" borderId="0" xfId="0" applyNumberFormat="1" applyFont="1" applyBorder="1" applyAlignment="1">
      <alignment vertical="top"/>
    </xf>
    <xf numFmtId="1" fontId="1" fillId="0" borderId="0" xfId="0" applyNumberFormat="1" applyFont="1" applyBorder="1" applyAlignment="1"/>
    <xf numFmtId="1" fontId="1" fillId="0" borderId="10" xfId="0" applyNumberFormat="1" applyFont="1" applyBorder="1"/>
    <xf numFmtId="1" fontId="0" fillId="0" borderId="16" xfId="0" applyNumberFormat="1" applyBorder="1" applyProtection="1">
      <protection locked="0"/>
    </xf>
    <xf numFmtId="1" fontId="0" fillId="0" borderId="0" xfId="0" applyNumberFormat="1" applyBorder="1" applyProtection="1">
      <protection locked="0"/>
    </xf>
    <xf numFmtId="1" fontId="0" fillId="0" borderId="0" xfId="0" applyNumberFormat="1" applyBorder="1"/>
    <xf numFmtId="44" fontId="4" fillId="0" borderId="0" xfId="1" applyFont="1"/>
    <xf numFmtId="1" fontId="4" fillId="0" borderId="0" xfId="0" applyNumberFormat="1" applyFont="1" applyBorder="1" applyAlignment="1">
      <alignment horizontal="left"/>
    </xf>
    <xf numFmtId="0" fontId="4" fillId="0" borderId="0" xfId="0" applyFont="1" applyBorder="1" applyProtection="1">
      <protection locked="0"/>
    </xf>
    <xf numFmtId="0" fontId="0" fillId="2" borderId="14" xfId="0" applyFill="1" applyBorder="1" applyProtection="1"/>
    <xf numFmtId="44" fontId="8" fillId="2" borderId="0" xfId="0" quotePrefix="1" applyNumberFormat="1" applyFont="1" applyFill="1" applyBorder="1" applyAlignment="1" applyProtection="1">
      <alignment horizontal="right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49" fontId="1" fillId="0" borderId="0" xfId="0" applyNumberFormat="1" applyFont="1"/>
    <xf numFmtId="1" fontId="6" fillId="2" borderId="3" xfId="0" applyNumberFormat="1" applyFont="1" applyFill="1" applyBorder="1" applyAlignment="1" applyProtection="1">
      <alignment horizontal="center"/>
    </xf>
    <xf numFmtId="1" fontId="1" fillId="2" borderId="9" xfId="0" applyNumberFormat="1" applyFont="1" applyFill="1" applyBorder="1" applyAlignment="1">
      <alignment horizontal="center"/>
    </xf>
    <xf numFmtId="1" fontId="0" fillId="2" borderId="2" xfId="0" applyNumberFormat="1" applyFill="1" applyBorder="1" applyAlignment="1" applyProtection="1">
      <alignment horizontal="center"/>
    </xf>
    <xf numFmtId="1" fontId="0" fillId="2" borderId="6" xfId="0" applyNumberFormat="1" applyFill="1" applyBorder="1" applyAlignment="1" applyProtection="1">
      <alignment horizontal="center"/>
    </xf>
    <xf numFmtId="1" fontId="0" fillId="0" borderId="0" xfId="0" applyNumberFormat="1" applyBorder="1" applyAlignment="1">
      <alignment horizontal="center"/>
    </xf>
    <xf numFmtId="0" fontId="1" fillId="0" borderId="0" xfId="0" applyFont="1" applyAlignment="1">
      <alignment horizontal="right" indent="1"/>
    </xf>
    <xf numFmtId="0" fontId="0" fillId="0" borderId="0" xfId="0" applyAlignment="1">
      <alignment wrapText="1"/>
    </xf>
    <xf numFmtId="0" fontId="1" fillId="0" borderId="0" xfId="0" applyFont="1" applyAlignment="1">
      <alignment horizontal="right" vertical="center" indent="1"/>
    </xf>
    <xf numFmtId="0" fontId="0" fillId="0" borderId="0" xfId="0" quotePrefix="1"/>
    <xf numFmtId="0" fontId="1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</cellXfs>
  <cellStyles count="2">
    <cellStyle name="Standaard" xfId="0" builtinId="0"/>
    <cellStyle name="Valuta" xfId="1" builtinId="4"/>
  </cellStyles>
  <dxfs count="10">
    <dxf>
      <border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border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border>
        <top style="thin">
          <color auto="1"/>
        </top>
        <bottom/>
        <vertical/>
        <horizontal/>
      </border>
    </dxf>
    <dxf>
      <border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R267"/>
  <sheetViews>
    <sheetView tabSelected="1" topLeftCell="J1" workbookViewId="0">
      <selection activeCell="T2" sqref="T2"/>
    </sheetView>
  </sheetViews>
  <sheetFormatPr defaultRowHeight="15" x14ac:dyDescent="0.25"/>
  <cols>
    <col min="1" max="1" width="9.7109375" style="3" customWidth="1"/>
    <col min="2" max="2" width="35.42578125" customWidth="1"/>
    <col min="3" max="3" width="3.5703125" style="18" customWidth="1"/>
    <col min="4" max="4" width="19.5703125" customWidth="1"/>
    <col min="5" max="5" width="11.5703125" style="16" customWidth="1"/>
    <col min="8" max="8" width="9.140625" style="25"/>
    <col min="9" max="9" width="38.42578125" bestFit="1" customWidth="1"/>
    <col min="10" max="10" width="9.42578125" bestFit="1" customWidth="1"/>
    <col min="14" max="14" width="19.28515625" customWidth="1"/>
    <col min="15" max="15" width="41.28515625" customWidth="1"/>
    <col min="17" max="17" width="15.7109375" customWidth="1"/>
  </cols>
  <sheetData>
    <row r="1" spans="1:18" ht="15.75" x14ac:dyDescent="0.25">
      <c r="A1" s="1" t="s">
        <v>9</v>
      </c>
      <c r="B1" s="1" t="s">
        <v>10</v>
      </c>
      <c r="C1" s="85" t="s">
        <v>13</v>
      </c>
      <c r="D1" s="85"/>
      <c r="E1" s="85"/>
      <c r="H1" s="75" t="s">
        <v>39</v>
      </c>
      <c r="I1" s="74" t="s">
        <v>40</v>
      </c>
      <c r="J1" s="74" t="s">
        <v>41</v>
      </c>
      <c r="N1" s="86" t="s">
        <v>43</v>
      </c>
      <c r="O1" s="86"/>
      <c r="Q1" s="87" t="s">
        <v>49</v>
      </c>
      <c r="R1" s="87"/>
    </row>
    <row r="2" spans="1:18" x14ac:dyDescent="0.25">
      <c r="A2" s="4"/>
      <c r="B2" s="4"/>
      <c r="C2" s="69">
        <v>1</v>
      </c>
      <c r="D2" s="70" t="s">
        <v>28</v>
      </c>
      <c r="E2" s="68"/>
      <c r="N2" s="81" t="s">
        <v>44</v>
      </c>
      <c r="Q2" s="81" t="s">
        <v>56</v>
      </c>
      <c r="R2">
        <v>2</v>
      </c>
    </row>
    <row r="3" spans="1:18" x14ac:dyDescent="0.25">
      <c r="A3" s="2"/>
      <c r="C3" s="69">
        <f t="shared" ref="C3:C31" si="0">IF(ISBLANK(D3),"",C2+1)</f>
        <v>2</v>
      </c>
      <c r="D3" s="70" t="s">
        <v>29</v>
      </c>
      <c r="E3" s="68"/>
      <c r="N3" s="81" t="s">
        <v>45</v>
      </c>
      <c r="Q3" s="81" t="s">
        <v>50</v>
      </c>
    </row>
    <row r="4" spans="1:18" x14ac:dyDescent="0.25">
      <c r="A4" s="2"/>
      <c r="C4" s="69">
        <f t="shared" si="0"/>
        <v>3</v>
      </c>
      <c r="D4" s="70" t="s">
        <v>30</v>
      </c>
      <c r="E4" s="68"/>
      <c r="N4" s="81" t="s">
        <v>46</v>
      </c>
      <c r="Q4" s="81" t="s">
        <v>51</v>
      </c>
      <c r="R4" s="84"/>
    </row>
    <row r="5" spans="1:18" x14ac:dyDescent="0.25">
      <c r="A5" s="2"/>
      <c r="C5" s="69">
        <f t="shared" si="0"/>
        <v>4</v>
      </c>
      <c r="D5" s="70" t="s">
        <v>31</v>
      </c>
      <c r="E5" s="68"/>
      <c r="N5" s="81" t="s">
        <v>47</v>
      </c>
      <c r="Q5" s="81" t="s">
        <v>52</v>
      </c>
    </row>
    <row r="6" spans="1:18" ht="15" customHeight="1" x14ac:dyDescent="0.25">
      <c r="C6" s="69">
        <f t="shared" si="0"/>
        <v>5</v>
      </c>
      <c r="D6" s="70" t="s">
        <v>32</v>
      </c>
      <c r="E6" s="68"/>
      <c r="N6" s="83" t="s">
        <v>48</v>
      </c>
      <c r="O6" s="82"/>
      <c r="Q6" s="81" t="s">
        <v>53</v>
      </c>
    </row>
    <row r="7" spans="1:18" x14ac:dyDescent="0.25">
      <c r="C7" s="69">
        <f t="shared" si="0"/>
        <v>6</v>
      </c>
      <c r="D7" s="70" t="s">
        <v>33</v>
      </c>
      <c r="E7" s="68"/>
      <c r="N7" s="74"/>
      <c r="Q7" s="81" t="s">
        <v>54</v>
      </c>
    </row>
    <row r="8" spans="1:18" x14ac:dyDescent="0.25">
      <c r="A8" s="2"/>
      <c r="C8" s="69">
        <f t="shared" si="0"/>
        <v>7</v>
      </c>
      <c r="D8" s="70" t="s">
        <v>34</v>
      </c>
      <c r="E8" s="68"/>
      <c r="Q8" s="81" t="s">
        <v>55</v>
      </c>
    </row>
    <row r="9" spans="1:18" x14ac:dyDescent="0.25">
      <c r="C9" s="69">
        <f t="shared" si="0"/>
        <v>8</v>
      </c>
      <c r="D9" s="70" t="s">
        <v>35</v>
      </c>
      <c r="E9" s="68"/>
    </row>
    <row r="10" spans="1:18" x14ac:dyDescent="0.25">
      <c r="C10" s="69">
        <f t="shared" si="0"/>
        <v>9</v>
      </c>
      <c r="D10" s="70" t="s">
        <v>14</v>
      </c>
      <c r="E10" s="68"/>
    </row>
    <row r="11" spans="1:18" x14ac:dyDescent="0.25">
      <c r="A11" s="2"/>
      <c r="C11" s="69">
        <f t="shared" si="0"/>
        <v>10</v>
      </c>
      <c r="D11" s="70" t="s">
        <v>36</v>
      </c>
      <c r="E11" s="68"/>
    </row>
    <row r="12" spans="1:18" x14ac:dyDescent="0.25">
      <c r="A12" s="2"/>
      <c r="C12" s="69">
        <f t="shared" si="0"/>
        <v>11</v>
      </c>
      <c r="D12" s="70" t="s">
        <v>27</v>
      </c>
      <c r="E12" s="68"/>
    </row>
    <row r="13" spans="1:18" x14ac:dyDescent="0.25">
      <c r="A13" s="2"/>
      <c r="C13" s="69">
        <f t="shared" si="0"/>
        <v>12</v>
      </c>
      <c r="D13" s="70" t="s">
        <v>17</v>
      </c>
      <c r="E13" s="68"/>
    </row>
    <row r="14" spans="1:18" x14ac:dyDescent="0.25">
      <c r="C14" s="69">
        <f t="shared" si="0"/>
        <v>13</v>
      </c>
      <c r="D14" s="70" t="s">
        <v>18</v>
      </c>
      <c r="E14" s="68"/>
    </row>
    <row r="15" spans="1:18" x14ac:dyDescent="0.25">
      <c r="A15" s="2"/>
      <c r="C15" s="69">
        <f t="shared" si="0"/>
        <v>14</v>
      </c>
      <c r="D15" s="70" t="s">
        <v>37</v>
      </c>
      <c r="E15" s="68"/>
    </row>
    <row r="16" spans="1:18" x14ac:dyDescent="0.25">
      <c r="A16" s="2"/>
      <c r="C16" s="69">
        <f t="shared" si="0"/>
        <v>15</v>
      </c>
      <c r="D16" s="70" t="s">
        <v>38</v>
      </c>
      <c r="E16" s="68"/>
    </row>
    <row r="17" spans="1:5" x14ac:dyDescent="0.25">
      <c r="A17" s="2"/>
      <c r="C17" s="69">
        <v>16</v>
      </c>
      <c r="D17" s="70" t="s">
        <v>21</v>
      </c>
      <c r="E17" s="68"/>
    </row>
    <row r="18" spans="1:5" x14ac:dyDescent="0.25">
      <c r="A18" s="2"/>
      <c r="C18" s="17" t="str">
        <f t="shared" si="0"/>
        <v/>
      </c>
      <c r="D18" s="9"/>
    </row>
    <row r="19" spans="1:5" x14ac:dyDescent="0.25">
      <c r="A19" s="2"/>
      <c r="C19" s="17" t="str">
        <f t="shared" si="0"/>
        <v/>
      </c>
      <c r="D19" s="9"/>
    </row>
    <row r="20" spans="1:5" x14ac:dyDescent="0.25">
      <c r="A20" s="2"/>
      <c r="C20" s="17" t="str">
        <f t="shared" si="0"/>
        <v/>
      </c>
      <c r="D20" s="9"/>
    </row>
    <row r="21" spans="1:5" x14ac:dyDescent="0.25">
      <c r="A21" s="2"/>
      <c r="C21" s="17" t="str">
        <f t="shared" si="0"/>
        <v/>
      </c>
      <c r="D21" s="9"/>
    </row>
    <row r="22" spans="1:5" x14ac:dyDescent="0.25">
      <c r="A22" s="2"/>
      <c r="C22" s="17" t="str">
        <f t="shared" si="0"/>
        <v/>
      </c>
      <c r="D22" s="9"/>
    </row>
    <row r="23" spans="1:5" x14ac:dyDescent="0.25">
      <c r="A23" s="2"/>
      <c r="C23" s="17" t="str">
        <f t="shared" si="0"/>
        <v/>
      </c>
      <c r="D23" s="9"/>
    </row>
    <row r="24" spans="1:5" x14ac:dyDescent="0.25">
      <c r="A24" s="2"/>
      <c r="C24" s="17" t="str">
        <f t="shared" si="0"/>
        <v/>
      </c>
      <c r="D24" s="9"/>
    </row>
    <row r="25" spans="1:5" x14ac:dyDescent="0.25">
      <c r="A25" s="2"/>
      <c r="C25" s="17" t="str">
        <f t="shared" si="0"/>
        <v/>
      </c>
      <c r="D25" s="9"/>
    </row>
    <row r="26" spans="1:5" x14ac:dyDescent="0.25">
      <c r="A26" s="2"/>
      <c r="C26" s="17" t="str">
        <f t="shared" si="0"/>
        <v/>
      </c>
      <c r="D26" s="9"/>
    </row>
    <row r="27" spans="1:5" x14ac:dyDescent="0.25">
      <c r="A27" s="2"/>
      <c r="C27" s="17" t="str">
        <f t="shared" si="0"/>
        <v/>
      </c>
      <c r="D27" s="9"/>
    </row>
    <row r="28" spans="1:5" x14ac:dyDescent="0.25">
      <c r="A28" s="2"/>
      <c r="C28" s="17" t="str">
        <f t="shared" si="0"/>
        <v/>
      </c>
      <c r="D28" s="9"/>
    </row>
    <row r="29" spans="1:5" x14ac:dyDescent="0.25">
      <c r="A29" s="2"/>
      <c r="C29" s="17" t="str">
        <f t="shared" si="0"/>
        <v/>
      </c>
      <c r="D29" s="9"/>
    </row>
    <row r="30" spans="1:5" x14ac:dyDescent="0.25">
      <c r="A30" s="2"/>
      <c r="C30" s="17" t="str">
        <f t="shared" si="0"/>
        <v/>
      </c>
      <c r="D30" s="9"/>
    </row>
    <row r="31" spans="1:5" x14ac:dyDescent="0.25">
      <c r="A31" s="2"/>
      <c r="C31" s="17" t="str">
        <f t="shared" si="0"/>
        <v/>
      </c>
      <c r="D31" s="9"/>
    </row>
    <row r="32" spans="1:5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7" spans="1:1" x14ac:dyDescent="0.25">
      <c r="A77" s="2"/>
    </row>
    <row r="79" spans="1:1" x14ac:dyDescent="0.25">
      <c r="A79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1" spans="1:1" x14ac:dyDescent="0.25">
      <c r="A131" s="2"/>
    </row>
    <row r="132" spans="1:1" x14ac:dyDescent="0.25">
      <c r="A132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50" spans="1:1" x14ac:dyDescent="0.25">
      <c r="A150" s="2"/>
    </row>
    <row r="151" spans="1:1" x14ac:dyDescent="0.25">
      <c r="A151" s="2"/>
    </row>
    <row r="153" spans="1:1" x14ac:dyDescent="0.25">
      <c r="A153" s="2"/>
    </row>
    <row r="154" spans="1:1" x14ac:dyDescent="0.25">
      <c r="A154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3" spans="1:1" x14ac:dyDescent="0.25">
      <c r="A163" s="2"/>
    </row>
    <row r="164" spans="1:1" x14ac:dyDescent="0.25">
      <c r="A164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61" spans="1:1" x14ac:dyDescent="0.25">
      <c r="A261" s="30"/>
    </row>
    <row r="267" spans="1:1" x14ac:dyDescent="0.25">
      <c r="A267" s="30"/>
    </row>
  </sheetData>
  <mergeCells count="3">
    <mergeCell ref="C1:E1"/>
    <mergeCell ref="N1:O1"/>
    <mergeCell ref="Q1:R1"/>
  </mergeCells>
  <conditionalFormatting sqref="A261">
    <cfRule type="expression" dxfId="9" priority="7">
      <formula>AND(OR(ISNUMBER($K261),$K261 = "-"),$K262 = "")</formula>
    </cfRule>
    <cfRule type="expression" dxfId="8" priority="8">
      <formula>ISNUMBER($K261)</formula>
    </cfRule>
  </conditionalFormatting>
  <conditionalFormatting sqref="A267">
    <cfRule type="expression" dxfId="7" priority="1">
      <formula>IF(ISBLANK($A267),FALSE,ISERROR(VLOOKUP(A267,Leveranciers,2,FALSE)))</formula>
    </cfRule>
  </conditionalFormatting>
  <conditionalFormatting sqref="A267">
    <cfRule type="expression" dxfId="6" priority="2">
      <formula>AND(OR(ISNUMBER($K267),NOT(ISERROR(VLOOKUP($D267,BijzonderheidTeken,3,FALSE)))),$D268 = "")</formula>
    </cfRule>
    <cfRule type="expression" dxfId="5" priority="3">
      <formula>IF(ISBLANK($D267),FALSE,OR(ISNUMBER($K267),IF(ISERROR(VLOOKUP($K267,BijzonderheidTeken,3,FALSE)),FALSE,NOT(VLOOKUP($K267,BijzonderheidTeken,3,FALSE)))))</formula>
    </cfRule>
  </conditionalFormatting>
  <dataValidations count="2">
    <dataValidation allowBlank="1" showInputMessage="1" showErrorMessage="1" promptTitle="Onderwerp email" prompt="Een aantal zaken kunnen automatisch ingevuld worden door de volgende code in de tekst te zetten:_x000a_- Weeknummer: {weeknr}_x000a_- Verzend datum: {datum}_x000a_- Verzend tijd: {tijd}_x000a_- Voorlopig/definitief/gewijzigde: {status}_x000a_" sqref="O5"/>
    <dataValidation allowBlank="1" showInputMessage="1" showErrorMessage="1" promptTitle="Email body" prompt="Een aantal zaken kunnen automatisch ingevuld worden door de volgende code in de tekst te zetten:_x000a_- Weeknummer: {weeknr}_x000a_- Verzend datum: {datum}_x000a_- Verzend tijd: {tijd}_x000a_- Voorlopig/definitief/gewijzigde: {status}_x000a_- Nieuwe regel {regel}" sqref="O6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R62"/>
  <sheetViews>
    <sheetView showZeros="0" workbookViewId="0">
      <selection activeCell="C23" sqref="C23"/>
    </sheetView>
  </sheetViews>
  <sheetFormatPr defaultColWidth="0" defaultRowHeight="15" zeroHeight="1" x14ac:dyDescent="0.25"/>
  <cols>
    <col min="1" max="1" width="9.5703125" style="33" customWidth="1"/>
    <col min="2" max="2" width="5.7109375" style="25" bestFit="1" customWidth="1"/>
    <col min="3" max="3" width="14.140625" style="33" customWidth="1"/>
    <col min="4" max="4" width="4.85546875" style="67" bestFit="1" customWidth="1"/>
    <col min="5" max="5" width="16.28515625" style="33" customWidth="1"/>
    <col min="6" max="6" width="13.42578125" style="33" customWidth="1"/>
    <col min="7" max="7" width="8.28515625" style="5" hidden="1" customWidth="1"/>
    <col min="8" max="8" width="23.7109375" style="5" customWidth="1"/>
    <col min="9" max="9" width="9" style="15" bestFit="1" customWidth="1"/>
    <col min="10" max="10" width="18.140625" style="5" customWidth="1"/>
    <col min="11" max="11" width="15.28515625" style="80" bestFit="1" customWidth="1"/>
    <col min="12" max="12" width="45.7109375" style="6" customWidth="1"/>
    <col min="13" max="13" width="12" style="11" customWidth="1"/>
    <col min="14" max="14" width="1.42578125" customWidth="1"/>
    <col min="15" max="15" width="2.42578125" style="7" customWidth="1"/>
    <col min="16" max="16" width="15.85546875" style="8" customWidth="1"/>
    <col min="17" max="17" width="7.5703125" style="19" customWidth="1"/>
    <col min="18" max="18" width="0" hidden="1" customWidth="1"/>
    <col min="19" max="16384" width="9.140625" hidden="1"/>
  </cols>
  <sheetData>
    <row r="1" spans="1:17" ht="23.25" x14ac:dyDescent="0.35">
      <c r="A1" s="21" t="s">
        <v>20</v>
      </c>
      <c r="B1" s="22">
        <f ca="1">WEEKNUM(TODAY(),15)</f>
        <v>14</v>
      </c>
      <c r="C1" s="23"/>
      <c r="D1" s="62"/>
      <c r="E1" s="23" t="s">
        <v>42</v>
      </c>
      <c r="F1" s="23"/>
      <c r="G1" s="13"/>
      <c r="H1" s="34" t="e">
        <f ca="1">IF(K1=CONCATENATE(B1),"Huidige week","")</f>
        <v>#VALUE!</v>
      </c>
      <c r="I1" s="35"/>
      <c r="J1" s="36" t="s">
        <v>0</v>
      </c>
      <c r="K1" s="76" t="e">
        <f ca="1">RIGHT(MID(CELL("filename",K1),SEARCH("]",CELL("filename",K1))+1,256),LEN(CELL("filename",K1))-SEARCH(" ",CELL("filename",K1)))</f>
        <v>#VALUE!</v>
      </c>
      <c r="L1" s="37" t="str">
        <f ca="1">"Afgedrukt op:  " &amp; TEXT(NOW(),"dd-mm-jj | uu:mm")</f>
        <v>Afgedrukt op:  02-04-15 | 16:05</v>
      </c>
      <c r="M1" s="38"/>
      <c r="N1" s="39"/>
      <c r="O1" s="41" t="s">
        <v>26</v>
      </c>
      <c r="P1" s="41"/>
      <c r="Q1" s="72" t="s">
        <v>25</v>
      </c>
    </row>
    <row r="2" spans="1:17" x14ac:dyDescent="0.25">
      <c r="A2" s="24"/>
      <c r="C2" s="24"/>
      <c r="D2" s="63"/>
      <c r="E2" s="24"/>
      <c r="F2" s="24"/>
      <c r="G2" s="14"/>
      <c r="H2" s="43" t="s">
        <v>1</v>
      </c>
      <c r="I2" s="88" t="s">
        <v>7</v>
      </c>
      <c r="J2" s="89"/>
      <c r="K2" s="90" t="s">
        <v>5</v>
      </c>
      <c r="L2" s="89"/>
      <c r="M2" s="73" t="s">
        <v>15</v>
      </c>
      <c r="N2" s="44"/>
      <c r="O2" s="40"/>
      <c r="P2" s="41"/>
      <c r="Q2" s="42"/>
    </row>
    <row r="3" spans="1:17" ht="15.75" thickBot="1" x14ac:dyDescent="0.3">
      <c r="A3" s="26" t="s">
        <v>2</v>
      </c>
      <c r="B3" s="26" t="s">
        <v>19</v>
      </c>
      <c r="C3" s="26" t="s">
        <v>12</v>
      </c>
      <c r="D3" s="64" t="s">
        <v>24</v>
      </c>
      <c r="E3" s="26" t="s">
        <v>23</v>
      </c>
      <c r="F3" s="26" t="s">
        <v>22</v>
      </c>
      <c r="G3" s="12" t="s">
        <v>11</v>
      </c>
      <c r="H3" s="45" t="s">
        <v>3</v>
      </c>
      <c r="I3" s="46" t="s">
        <v>8</v>
      </c>
      <c r="J3" s="47" t="s">
        <v>12</v>
      </c>
      <c r="K3" s="77" t="s">
        <v>4</v>
      </c>
      <c r="L3" s="47" t="s">
        <v>6</v>
      </c>
      <c r="M3" s="48" t="s">
        <v>16</v>
      </c>
      <c r="N3" s="49"/>
      <c r="O3" s="91" t="s">
        <v>13</v>
      </c>
      <c r="P3" s="91"/>
      <c r="Q3" s="42"/>
    </row>
    <row r="4" spans="1:17" x14ac:dyDescent="0.25">
      <c r="A4" s="27"/>
      <c r="B4" s="28"/>
      <c r="C4" s="28"/>
      <c r="D4" s="65"/>
      <c r="E4" s="28"/>
      <c r="F4" s="29"/>
      <c r="G4" s="20" t="e">
        <f t="shared" ref="G4:G35" si="0">VLOOKUP(A4,Leveranciers,2,FALSE)</f>
        <v>#N/A</v>
      </c>
      <c r="H4" s="50" t="str">
        <f>IF(ISERROR(G4),IF(NOT(ISBLANK(B4)),H3,""),IF(G4="-",UPPER(A4),G4))</f>
        <v/>
      </c>
      <c r="I4" s="51" t="str">
        <f t="shared" ref="I4" ca="1" si="1">IF(ISBLANK(B4),"",YEAR(TODAY()) &amp; B4)</f>
        <v/>
      </c>
      <c r="J4" s="51" t="str">
        <f>IF(ISBLANK(C4),IF(NOT(ISBLANK(B4)),J3,""),C4)</f>
        <v/>
      </c>
      <c r="K4" s="78" t="str">
        <f t="shared" ref="K4:M4" si="2">IF(ISBLANK(D4),"",D4)</f>
        <v/>
      </c>
      <c r="L4" s="52" t="str">
        <f t="shared" ref="L4" ca="1" si="3">IF(ISBLANK(E4),IF(NOT(ISERROR(VLOOKUP(D4,BijzonderheidTeken,1,FALSE))),VLOOKUP(D4,BijzonderheidTeken,2,FALSE),""),E4)</f>
        <v/>
      </c>
      <c r="M4" s="53" t="str">
        <f t="shared" si="2"/>
        <v/>
      </c>
      <c r="N4" s="44"/>
      <c r="O4" s="54">
        <f>IF(ISBLANK(DATA!C2),"",DATA!C2)</f>
        <v>1</v>
      </c>
      <c r="P4" s="55" t="str">
        <f>IF(DATA!C2="","",DATA!D2)</f>
        <v>Combi (5080)</v>
      </c>
      <c r="Q4" s="42">
        <f>IF(DATA!C2="","",DATA!E2)</f>
        <v>0</v>
      </c>
    </row>
    <row r="5" spans="1:17" x14ac:dyDescent="0.25">
      <c r="A5" s="30"/>
      <c r="B5" s="31"/>
      <c r="C5" s="31"/>
      <c r="D5" s="66"/>
      <c r="E5" s="31"/>
      <c r="F5" s="32"/>
      <c r="G5" s="10" t="e">
        <f t="shared" si="0"/>
        <v>#N/A</v>
      </c>
      <c r="H5" s="50" t="str">
        <f t="shared" ref="H5:H61" si="4">IF(ISERROR(G5),IF(NOT(ISBLANK(B5)),H4,""),IF(G5="-",UPPER(A5),G5))</f>
        <v/>
      </c>
      <c r="I5" s="51" t="str">
        <f t="shared" ref="I5:I61" ca="1" si="5">IF(ISBLANK(B5),"",YEAR(TODAY()) &amp; B5)</f>
        <v/>
      </c>
      <c r="J5" s="51" t="str">
        <f t="shared" ref="J5:J61" si="6">IF(ISBLANK(C5),IF(NOT(ISBLANK(B5)),J4,""),C5)</f>
        <v/>
      </c>
      <c r="K5" s="78" t="str">
        <f t="shared" ref="K5:K61" si="7">IF(ISBLANK(D5),"",D5)</f>
        <v/>
      </c>
      <c r="L5" s="52" t="str">
        <f t="shared" ref="L5:L61" ca="1" si="8">IF(ISBLANK(E5),IF(NOT(ISERROR(VLOOKUP(D5,BijzonderheidTeken,1,FALSE))),VLOOKUP(D5,BijzonderheidTeken,2,FALSE),""),E5)</f>
        <v/>
      </c>
      <c r="M5" s="53" t="str">
        <f t="shared" ref="M5:M61" si="9">IF(ISBLANK(F5),"",F5)</f>
        <v/>
      </c>
      <c r="N5" s="44"/>
      <c r="O5" s="54">
        <f>IF(ISBLANK(DATA!C3),"",DATA!C3)</f>
        <v>2</v>
      </c>
      <c r="P5" s="55" t="str">
        <f>IF(DATA!C3="","",DATA!D3)</f>
        <v>Carnauba wax (6107)</v>
      </c>
      <c r="Q5" s="42">
        <f>IF(DATA!C3="","",DATA!E3)</f>
        <v>0</v>
      </c>
    </row>
    <row r="6" spans="1:17" x14ac:dyDescent="0.25">
      <c r="A6" s="30"/>
      <c r="B6" s="31"/>
      <c r="C6" s="31"/>
      <c r="D6" s="66"/>
      <c r="E6" s="31"/>
      <c r="F6" s="32"/>
      <c r="G6" s="10" t="e">
        <f t="shared" si="0"/>
        <v>#N/A</v>
      </c>
      <c r="H6" s="50" t="str">
        <f t="shared" si="4"/>
        <v/>
      </c>
      <c r="I6" s="51" t="str">
        <f t="shared" ca="1" si="5"/>
        <v/>
      </c>
      <c r="J6" s="51" t="str">
        <f t="shared" si="6"/>
        <v/>
      </c>
      <c r="K6" s="78" t="str">
        <f t="shared" si="7"/>
        <v/>
      </c>
      <c r="L6" s="52" t="str">
        <f t="shared" ca="1" si="8"/>
        <v/>
      </c>
      <c r="M6" s="53" t="str">
        <f t="shared" si="9"/>
        <v/>
      </c>
      <c r="N6" s="44"/>
      <c r="O6" s="54">
        <f>IF(ISBLANK(DATA!C4),"",DATA!C4)</f>
        <v>3</v>
      </c>
      <c r="P6" s="55" t="str">
        <f>IF(DATA!C4="","",DATA!D4)</f>
        <v>Chloormequat (4361)</v>
      </c>
      <c r="Q6" s="42">
        <f>IF(DATA!C4="","",DATA!E4)</f>
        <v>0</v>
      </c>
    </row>
    <row r="7" spans="1:17" x14ac:dyDescent="0.25">
      <c r="A7" s="30"/>
      <c r="B7" s="31"/>
      <c r="C7" s="31"/>
      <c r="D7" s="66"/>
      <c r="E7" s="31"/>
      <c r="F7" s="32"/>
      <c r="G7" s="10" t="e">
        <f t="shared" si="0"/>
        <v>#N/A</v>
      </c>
      <c r="H7" s="50" t="str">
        <f t="shared" si="4"/>
        <v/>
      </c>
      <c r="I7" s="51" t="str">
        <f t="shared" ca="1" si="5"/>
        <v/>
      </c>
      <c r="J7" s="51" t="str">
        <f t="shared" si="6"/>
        <v/>
      </c>
      <c r="K7" s="78" t="str">
        <f t="shared" si="7"/>
        <v/>
      </c>
      <c r="L7" s="52" t="str">
        <f t="shared" ca="1" si="8"/>
        <v/>
      </c>
      <c r="M7" s="53" t="str">
        <f t="shared" si="9"/>
        <v/>
      </c>
      <c r="N7" s="44"/>
      <c r="O7" s="54">
        <f>IF(ISBLANK(DATA!C5),"",DATA!C5)</f>
        <v>4</v>
      </c>
      <c r="P7" s="55" t="str">
        <f>IF(DATA!C5="","",DATA!D5)</f>
        <v>DDAC/BAC (6653)</v>
      </c>
      <c r="Q7" s="42">
        <f>IF(DATA!C5="","",DATA!E5)</f>
        <v>0</v>
      </c>
    </row>
    <row r="8" spans="1:17" x14ac:dyDescent="0.25">
      <c r="A8" s="30"/>
      <c r="B8" s="31"/>
      <c r="C8" s="31"/>
      <c r="D8" s="66"/>
      <c r="E8" s="31"/>
      <c r="F8" s="32"/>
      <c r="G8" s="10" t="e">
        <f t="shared" si="0"/>
        <v>#N/A</v>
      </c>
      <c r="H8" s="50" t="str">
        <f t="shared" si="4"/>
        <v/>
      </c>
      <c r="I8" s="51" t="str">
        <f t="shared" ca="1" si="5"/>
        <v/>
      </c>
      <c r="J8" s="51" t="str">
        <f t="shared" si="6"/>
        <v/>
      </c>
      <c r="K8" s="78" t="str">
        <f t="shared" si="7"/>
        <v/>
      </c>
      <c r="L8" s="52" t="str">
        <f t="shared" ca="1" si="8"/>
        <v/>
      </c>
      <c r="M8" s="53" t="str">
        <f t="shared" si="9"/>
        <v/>
      </c>
      <c r="N8" s="44"/>
      <c r="O8" s="54">
        <f>IF(ISBLANK(DATA!C6),"",DATA!C6)</f>
        <v>5</v>
      </c>
      <c r="P8" s="55" t="str">
        <f>IF(DATA!C6="","",DATA!D6)</f>
        <v>Dithiocarbamaten (3774)</v>
      </c>
      <c r="Q8" s="42">
        <f>IF(DATA!C6="","",DATA!E6)</f>
        <v>0</v>
      </c>
    </row>
    <row r="9" spans="1:17" x14ac:dyDescent="0.25">
      <c r="A9" s="30"/>
      <c r="B9" s="31"/>
      <c r="C9" s="31"/>
      <c r="D9" s="66"/>
      <c r="E9" s="31"/>
      <c r="F9" s="32"/>
      <c r="G9" s="10" t="e">
        <f t="shared" si="0"/>
        <v>#N/A</v>
      </c>
      <c r="H9" s="50" t="str">
        <f t="shared" si="4"/>
        <v/>
      </c>
      <c r="I9" s="51" t="str">
        <f t="shared" ca="1" si="5"/>
        <v/>
      </c>
      <c r="J9" s="51" t="str">
        <f t="shared" si="6"/>
        <v/>
      </c>
      <c r="K9" s="78" t="str">
        <f t="shared" si="7"/>
        <v/>
      </c>
      <c r="L9" s="52" t="str">
        <f t="shared" ca="1" si="8"/>
        <v/>
      </c>
      <c r="M9" s="53" t="str">
        <f t="shared" si="9"/>
        <v/>
      </c>
      <c r="N9" s="44"/>
      <c r="O9" s="54">
        <f>IF(ISBLANK(DATA!C7),"",DATA!C7)</f>
        <v>6</v>
      </c>
      <c r="P9" s="55" t="str">
        <f>IF(DATA!C7="","",DATA!D7)</f>
        <v>Ethepon (3775)</v>
      </c>
      <c r="Q9" s="42">
        <f>IF(DATA!C7="","",DATA!E7)</f>
        <v>0</v>
      </c>
    </row>
    <row r="10" spans="1:17" x14ac:dyDescent="0.25">
      <c r="A10" s="30"/>
      <c r="B10" s="31"/>
      <c r="C10" s="31"/>
      <c r="D10" s="66"/>
      <c r="E10" s="31"/>
      <c r="F10" s="32"/>
      <c r="G10" s="10" t="e">
        <f t="shared" si="0"/>
        <v>#N/A</v>
      </c>
      <c r="H10" s="50" t="str">
        <f t="shared" si="4"/>
        <v/>
      </c>
      <c r="I10" s="51" t="str">
        <f t="shared" ca="1" si="5"/>
        <v/>
      </c>
      <c r="J10" s="51" t="str">
        <f t="shared" si="6"/>
        <v/>
      </c>
      <c r="K10" s="78" t="str">
        <f t="shared" si="7"/>
        <v/>
      </c>
      <c r="L10" s="52" t="str">
        <f t="shared" ca="1" si="8"/>
        <v/>
      </c>
      <c r="M10" s="53" t="str">
        <f t="shared" si="9"/>
        <v/>
      </c>
      <c r="N10" s="44"/>
      <c r="O10" s="54">
        <f>IF(ISBLANK(DATA!C8),"",DATA!C8)</f>
        <v>7</v>
      </c>
      <c r="P10" s="55" t="str">
        <f>IF(DATA!C8="","",DATA!D8)</f>
        <v>Fenbutation-oxide (6105)</v>
      </c>
      <c r="Q10" s="42">
        <f>IF(DATA!C8="","",DATA!E8)</f>
        <v>0</v>
      </c>
    </row>
    <row r="11" spans="1:17" x14ac:dyDescent="0.25">
      <c r="A11" s="31"/>
      <c r="B11" s="31"/>
      <c r="C11" s="31"/>
      <c r="D11" s="66"/>
      <c r="E11" s="31"/>
      <c r="F11" s="32"/>
      <c r="G11" s="10" t="e">
        <f t="shared" si="0"/>
        <v>#N/A</v>
      </c>
      <c r="H11" s="50" t="str">
        <f t="shared" si="4"/>
        <v/>
      </c>
      <c r="I11" s="51" t="str">
        <f t="shared" ca="1" si="5"/>
        <v/>
      </c>
      <c r="J11" s="51" t="str">
        <f t="shared" si="6"/>
        <v/>
      </c>
      <c r="K11" s="78" t="str">
        <f t="shared" si="7"/>
        <v/>
      </c>
      <c r="L11" s="52" t="str">
        <f t="shared" ca="1" si="8"/>
        <v/>
      </c>
      <c r="M11" s="53" t="str">
        <f t="shared" si="9"/>
        <v/>
      </c>
      <c r="N11" s="44"/>
      <c r="O11" s="54">
        <f>IF(ISBLANK(DATA!C9),"",DATA!C9)</f>
        <v>8</v>
      </c>
      <c r="P11" s="55" t="str">
        <f>IF(DATA!C9="","",DATA!D9)</f>
        <v>Morfoline (6170)</v>
      </c>
      <c r="Q11" s="42">
        <f>IF(DATA!C9="","",DATA!E9)</f>
        <v>0</v>
      </c>
    </row>
    <row r="12" spans="1:17" x14ac:dyDescent="0.25">
      <c r="A12" s="30"/>
      <c r="B12" s="31"/>
      <c r="C12" s="31"/>
      <c r="D12" s="66"/>
      <c r="E12" s="31"/>
      <c r="F12" s="32"/>
      <c r="G12" s="10" t="e">
        <f t="shared" si="0"/>
        <v>#N/A</v>
      </c>
      <c r="H12" s="50" t="str">
        <f t="shared" si="4"/>
        <v/>
      </c>
      <c r="I12" s="51" t="str">
        <f t="shared" ca="1" si="5"/>
        <v/>
      </c>
      <c r="J12" s="51" t="str">
        <f t="shared" si="6"/>
        <v/>
      </c>
      <c r="K12" s="78" t="str">
        <f t="shared" si="7"/>
        <v/>
      </c>
      <c r="L12" s="52" t="str">
        <f t="shared" ca="1" si="8"/>
        <v/>
      </c>
      <c r="M12" s="53" t="str">
        <f t="shared" si="9"/>
        <v/>
      </c>
      <c r="N12" s="44"/>
      <c r="O12" s="54">
        <f>IF(ISBLANK(DATA!C10),"",DATA!C10)</f>
        <v>9</v>
      </c>
      <c r="P12" s="55" t="str">
        <f>IF(DATA!C10="","",DATA!D10)</f>
        <v>Paraquat</v>
      </c>
      <c r="Q12" s="42">
        <f>IF(DATA!C10="","",DATA!E10)</f>
        <v>0</v>
      </c>
    </row>
    <row r="13" spans="1:17" x14ac:dyDescent="0.25">
      <c r="A13" s="30"/>
      <c r="B13" s="31"/>
      <c r="C13" s="31"/>
      <c r="D13" s="66"/>
      <c r="E13" s="31"/>
      <c r="F13" s="32"/>
      <c r="G13" s="10" t="e">
        <f t="shared" si="0"/>
        <v>#N/A</v>
      </c>
      <c r="H13" s="50" t="str">
        <f t="shared" si="4"/>
        <v/>
      </c>
      <c r="I13" s="51" t="str">
        <f t="shared" ca="1" si="5"/>
        <v/>
      </c>
      <c r="J13" s="51" t="str">
        <f t="shared" si="6"/>
        <v/>
      </c>
      <c r="K13" s="78" t="str">
        <f t="shared" si="7"/>
        <v/>
      </c>
      <c r="L13" s="52" t="str">
        <f t="shared" ca="1" si="8"/>
        <v/>
      </c>
      <c r="M13" s="53" t="str">
        <f t="shared" si="9"/>
        <v/>
      </c>
      <c r="N13" s="44"/>
      <c r="O13" s="54">
        <f>IF(ISBLANK(DATA!C11),"",DATA!C11)</f>
        <v>10</v>
      </c>
      <c r="P13" s="55" t="str">
        <f>IF(DATA!C11="","",DATA!D11)</f>
        <v>Per-chloraat (6762)</v>
      </c>
      <c r="Q13" s="42">
        <f>IF(DATA!C11="","",DATA!E11)</f>
        <v>0</v>
      </c>
    </row>
    <row r="14" spans="1:17" x14ac:dyDescent="0.25">
      <c r="A14" s="30"/>
      <c r="B14" s="31"/>
      <c r="C14" s="31"/>
      <c r="D14" s="66"/>
      <c r="E14" s="31"/>
      <c r="F14" s="32"/>
      <c r="G14" s="10" t="e">
        <f t="shared" si="0"/>
        <v>#N/A</v>
      </c>
      <c r="H14" s="50" t="str">
        <f t="shared" si="4"/>
        <v/>
      </c>
      <c r="I14" s="51" t="str">
        <f t="shared" ca="1" si="5"/>
        <v/>
      </c>
      <c r="J14" s="51" t="str">
        <f t="shared" si="6"/>
        <v/>
      </c>
      <c r="K14" s="78" t="str">
        <f t="shared" si="7"/>
        <v/>
      </c>
      <c r="L14" s="52" t="str">
        <f t="shared" ca="1" si="8"/>
        <v/>
      </c>
      <c r="M14" s="53" t="str">
        <f t="shared" si="9"/>
        <v/>
      </c>
      <c r="N14" s="44"/>
      <c r="O14" s="54">
        <f>IF(ISBLANK(DATA!C12),"",DATA!C12)</f>
        <v>11</v>
      </c>
      <c r="P14" s="55" t="str">
        <f>IF(DATA!C12="","",DATA!D12)</f>
        <v>Fosetyl-AL (6802)</v>
      </c>
      <c r="Q14" s="42">
        <f>IF(DATA!C12="","",DATA!E12)</f>
        <v>0</v>
      </c>
    </row>
    <row r="15" spans="1:17" x14ac:dyDescent="0.25">
      <c r="A15" s="30"/>
      <c r="B15" s="31"/>
      <c r="C15" s="31"/>
      <c r="D15" s="66"/>
      <c r="E15" s="31"/>
      <c r="F15" s="32"/>
      <c r="G15" s="10" t="e">
        <f t="shared" si="0"/>
        <v>#N/A</v>
      </c>
      <c r="H15" s="50" t="str">
        <f t="shared" si="4"/>
        <v/>
      </c>
      <c r="I15" s="51" t="str">
        <f t="shared" ca="1" si="5"/>
        <v/>
      </c>
      <c r="J15" s="51" t="str">
        <f t="shared" si="6"/>
        <v/>
      </c>
      <c r="K15" s="78" t="str">
        <f t="shared" si="7"/>
        <v/>
      </c>
      <c r="L15" s="52" t="str">
        <f t="shared" ca="1" si="8"/>
        <v/>
      </c>
      <c r="M15" s="53" t="str">
        <f t="shared" si="9"/>
        <v/>
      </c>
      <c r="N15" s="44"/>
      <c r="O15" s="54">
        <f>IF(ISBLANK(DATA!C13),"",DATA!C13)</f>
        <v>12</v>
      </c>
      <c r="P15" s="55" t="str">
        <f>IF(DATA!C13="","",DATA!D13)</f>
        <v>Droge stof</v>
      </c>
      <c r="Q15" s="42">
        <f>IF(DATA!C13="","",DATA!E13)</f>
        <v>0</v>
      </c>
    </row>
    <row r="16" spans="1:17" x14ac:dyDescent="0.25">
      <c r="A16" s="30"/>
      <c r="B16" s="31"/>
      <c r="C16" s="31"/>
      <c r="D16" s="66"/>
      <c r="E16" s="31"/>
      <c r="F16" s="32"/>
      <c r="G16" s="10" t="e">
        <f t="shared" si="0"/>
        <v>#N/A</v>
      </c>
      <c r="H16" s="50" t="str">
        <f t="shared" si="4"/>
        <v/>
      </c>
      <c r="I16" s="51" t="str">
        <f t="shared" ca="1" si="5"/>
        <v/>
      </c>
      <c r="J16" s="51" t="str">
        <f t="shared" si="6"/>
        <v/>
      </c>
      <c r="K16" s="78" t="str">
        <f t="shared" si="7"/>
        <v/>
      </c>
      <c r="L16" s="52" t="str">
        <f t="shared" ca="1" si="8"/>
        <v/>
      </c>
      <c r="M16" s="53" t="str">
        <f t="shared" si="9"/>
        <v/>
      </c>
      <c r="N16" s="44"/>
      <c r="O16" s="54">
        <f>IF(ISBLANK(DATA!C14),"",DATA!C14)</f>
        <v>13</v>
      </c>
      <c r="P16" s="55" t="str">
        <f>IF(DATA!C14="","",DATA!D14)</f>
        <v>Ruw vet</v>
      </c>
      <c r="Q16" s="42">
        <f>IF(DATA!C14="","",DATA!E14)</f>
        <v>0</v>
      </c>
    </row>
    <row r="17" spans="1:17" x14ac:dyDescent="0.25">
      <c r="A17" s="30"/>
      <c r="B17" s="31"/>
      <c r="C17" s="31"/>
      <c r="D17" s="66"/>
      <c r="E17" s="31"/>
      <c r="F17" s="32"/>
      <c r="G17" s="10" t="e">
        <f t="shared" si="0"/>
        <v>#N/A</v>
      </c>
      <c r="H17" s="50" t="str">
        <f t="shared" si="4"/>
        <v/>
      </c>
      <c r="I17" s="51" t="str">
        <f t="shared" ca="1" si="5"/>
        <v/>
      </c>
      <c r="J17" s="51" t="str">
        <f t="shared" si="6"/>
        <v/>
      </c>
      <c r="K17" s="78" t="str">
        <f t="shared" si="7"/>
        <v/>
      </c>
      <c r="L17" s="52" t="str">
        <f t="shared" ca="1" si="8"/>
        <v/>
      </c>
      <c r="M17" s="53" t="str">
        <f t="shared" si="9"/>
        <v/>
      </c>
      <c r="N17" s="44"/>
      <c r="O17" s="54">
        <f>IF(ISBLANK(DATA!C15),"",DATA!C15)</f>
        <v>14</v>
      </c>
      <c r="P17" s="55" t="str">
        <f>IF(DATA!C15="","",DATA!D15)</f>
        <v>Zuur/Suiker (eigen)</v>
      </c>
      <c r="Q17" s="42">
        <f>IF(DATA!C15="","",DATA!E15)</f>
        <v>0</v>
      </c>
    </row>
    <row r="18" spans="1:17" x14ac:dyDescent="0.25">
      <c r="A18" s="30"/>
      <c r="B18" s="31"/>
      <c r="C18" s="31"/>
      <c r="D18" s="66"/>
      <c r="E18" s="31"/>
      <c r="F18" s="32"/>
      <c r="G18" s="10" t="e">
        <f t="shared" si="0"/>
        <v>#N/A</v>
      </c>
      <c r="H18" s="50" t="str">
        <f t="shared" si="4"/>
        <v/>
      </c>
      <c r="I18" s="51" t="str">
        <f t="shared" ca="1" si="5"/>
        <v/>
      </c>
      <c r="J18" s="51" t="str">
        <f t="shared" si="6"/>
        <v/>
      </c>
      <c r="K18" s="78" t="str">
        <f t="shared" si="7"/>
        <v/>
      </c>
      <c r="L18" s="52" t="str">
        <f t="shared" ca="1" si="8"/>
        <v/>
      </c>
      <c r="M18" s="53" t="str">
        <f t="shared" si="9"/>
        <v/>
      </c>
      <c r="N18" s="44"/>
      <c r="O18" s="54">
        <f>IF(ISBLANK(DATA!C16),"",DATA!C16)</f>
        <v>15</v>
      </c>
      <c r="P18" s="55" t="str">
        <f>IF(DATA!C16="","",DATA!D16)</f>
        <v>Sap (eigen)</v>
      </c>
      <c r="Q18" s="42">
        <f>IF(DATA!C16="","",DATA!E16)</f>
        <v>0</v>
      </c>
    </row>
    <row r="19" spans="1:17" x14ac:dyDescent="0.25">
      <c r="A19" s="30"/>
      <c r="B19" s="31"/>
      <c r="C19" s="31"/>
      <c r="D19" s="66"/>
      <c r="E19" s="31"/>
      <c r="F19" s="32"/>
      <c r="G19" s="10" t="e">
        <f t="shared" si="0"/>
        <v>#N/A</v>
      </c>
      <c r="H19" s="50" t="str">
        <f t="shared" si="4"/>
        <v/>
      </c>
      <c r="I19" s="51" t="str">
        <f t="shared" ca="1" si="5"/>
        <v/>
      </c>
      <c r="J19" s="51" t="str">
        <f t="shared" si="6"/>
        <v/>
      </c>
      <c r="K19" s="78" t="str">
        <f t="shared" si="7"/>
        <v/>
      </c>
      <c r="L19" s="52" t="str">
        <f t="shared" ca="1" si="8"/>
        <v/>
      </c>
      <c r="M19" s="53" t="str">
        <f t="shared" si="9"/>
        <v/>
      </c>
      <c r="N19" s="44"/>
      <c r="O19" s="54">
        <f>IF(ISBLANK(DATA!C17),"",DATA!C17)</f>
        <v>16</v>
      </c>
      <c r="P19" s="55" t="str">
        <f>IF(DATA!C17="","",DATA!D17)</f>
        <v>Microbiologische</v>
      </c>
      <c r="Q19" s="42">
        <f>IF(DATA!C17="","",DATA!E17)</f>
        <v>0</v>
      </c>
    </row>
    <row r="20" spans="1:17" x14ac:dyDescent="0.25">
      <c r="A20" s="30"/>
      <c r="B20" s="31"/>
      <c r="C20" s="31"/>
      <c r="D20" s="66"/>
      <c r="E20" s="31"/>
      <c r="F20" s="32"/>
      <c r="G20" s="10" t="e">
        <f t="shared" si="0"/>
        <v>#N/A</v>
      </c>
      <c r="H20" s="50" t="str">
        <f t="shared" si="4"/>
        <v/>
      </c>
      <c r="I20" s="51" t="str">
        <f t="shared" ca="1" si="5"/>
        <v/>
      </c>
      <c r="J20" s="51" t="str">
        <f t="shared" si="6"/>
        <v/>
      </c>
      <c r="K20" s="78" t="str">
        <f t="shared" si="7"/>
        <v/>
      </c>
      <c r="L20" s="52" t="str">
        <f t="shared" ca="1" si="8"/>
        <v/>
      </c>
      <c r="M20" s="53" t="str">
        <f t="shared" si="9"/>
        <v/>
      </c>
      <c r="N20" s="44"/>
      <c r="O20" s="54" t="str">
        <f>IF(ISBLANK(DATA!C18),"",DATA!C18)</f>
        <v/>
      </c>
      <c r="P20" s="55" t="str">
        <f>IF(DATA!C18="","",DATA!D18)</f>
        <v/>
      </c>
      <c r="Q20" s="42" t="str">
        <f>IF(DATA!C18="","",DATA!E18)</f>
        <v/>
      </c>
    </row>
    <row r="21" spans="1:17" x14ac:dyDescent="0.25">
      <c r="A21" s="30"/>
      <c r="B21" s="31"/>
      <c r="C21" s="31"/>
      <c r="D21" s="66"/>
      <c r="E21" s="31"/>
      <c r="F21" s="32"/>
      <c r="G21" s="10" t="e">
        <f t="shared" si="0"/>
        <v>#N/A</v>
      </c>
      <c r="H21" s="50" t="str">
        <f t="shared" si="4"/>
        <v/>
      </c>
      <c r="I21" s="51" t="str">
        <f t="shared" ca="1" si="5"/>
        <v/>
      </c>
      <c r="J21" s="51" t="str">
        <f t="shared" si="6"/>
        <v/>
      </c>
      <c r="K21" s="78" t="str">
        <f t="shared" si="7"/>
        <v/>
      </c>
      <c r="L21" s="52" t="str">
        <f t="shared" ca="1" si="8"/>
        <v/>
      </c>
      <c r="M21" s="53" t="str">
        <f t="shared" si="9"/>
        <v/>
      </c>
      <c r="N21" s="44"/>
      <c r="O21" s="54" t="str">
        <f>IF(ISBLANK(DATA!C19),"",DATA!C19)</f>
        <v/>
      </c>
      <c r="P21" s="55" t="str">
        <f>IF(DATA!C19="","",DATA!D19)</f>
        <v/>
      </c>
      <c r="Q21" s="42" t="str">
        <f>IF(DATA!C19="","",DATA!E19)</f>
        <v/>
      </c>
    </row>
    <row r="22" spans="1:17" x14ac:dyDescent="0.25">
      <c r="A22" s="30"/>
      <c r="B22" s="31"/>
      <c r="C22" s="31"/>
      <c r="D22" s="66"/>
      <c r="E22" s="31"/>
      <c r="F22" s="32"/>
      <c r="G22" s="10" t="e">
        <f t="shared" si="0"/>
        <v>#N/A</v>
      </c>
      <c r="H22" s="50" t="str">
        <f t="shared" si="4"/>
        <v/>
      </c>
      <c r="I22" s="51" t="str">
        <f t="shared" ca="1" si="5"/>
        <v/>
      </c>
      <c r="J22" s="51" t="str">
        <f t="shared" si="6"/>
        <v/>
      </c>
      <c r="K22" s="78" t="str">
        <f t="shared" si="7"/>
        <v/>
      </c>
      <c r="L22" s="52" t="str">
        <f t="shared" ca="1" si="8"/>
        <v/>
      </c>
      <c r="M22" s="53" t="str">
        <f t="shared" si="9"/>
        <v/>
      </c>
      <c r="N22" s="44"/>
      <c r="O22" s="54" t="str">
        <f>IF(ISBLANK(DATA!C20),"",DATA!C20)</f>
        <v/>
      </c>
      <c r="P22" s="55" t="str">
        <f>IF(DATA!C20="","",DATA!D20)</f>
        <v/>
      </c>
      <c r="Q22" s="42" t="str">
        <f>IF(DATA!C20="","",DATA!E20)</f>
        <v/>
      </c>
    </row>
    <row r="23" spans="1:17" x14ac:dyDescent="0.25">
      <c r="A23" s="30"/>
      <c r="B23" s="31"/>
      <c r="C23" s="31"/>
      <c r="D23" s="66"/>
      <c r="E23" s="31"/>
      <c r="F23" s="32"/>
      <c r="G23" s="10" t="e">
        <f t="shared" si="0"/>
        <v>#N/A</v>
      </c>
      <c r="H23" s="50" t="str">
        <f t="shared" si="4"/>
        <v/>
      </c>
      <c r="I23" s="51" t="str">
        <f t="shared" ca="1" si="5"/>
        <v/>
      </c>
      <c r="J23" s="51" t="str">
        <f t="shared" si="6"/>
        <v/>
      </c>
      <c r="K23" s="78" t="str">
        <f t="shared" si="7"/>
        <v/>
      </c>
      <c r="L23" s="52" t="str">
        <f t="shared" ca="1" si="8"/>
        <v/>
      </c>
      <c r="M23" s="53" t="str">
        <f t="shared" si="9"/>
        <v/>
      </c>
      <c r="N23" s="44"/>
      <c r="O23" s="54" t="str">
        <f>IF(ISBLANK(DATA!C21),"",DATA!C21)</f>
        <v/>
      </c>
      <c r="P23" s="55" t="str">
        <f>IF(DATA!C21="","",DATA!D21)</f>
        <v/>
      </c>
      <c r="Q23" s="42" t="str">
        <f>IF(DATA!C21="","",DATA!E21)</f>
        <v/>
      </c>
    </row>
    <row r="24" spans="1:17" x14ac:dyDescent="0.25">
      <c r="A24" s="30"/>
      <c r="B24" s="31"/>
      <c r="C24" s="31"/>
      <c r="D24" s="66"/>
      <c r="E24" s="31"/>
      <c r="F24" s="32"/>
      <c r="G24" s="10" t="e">
        <f t="shared" si="0"/>
        <v>#N/A</v>
      </c>
      <c r="H24" s="50" t="str">
        <f t="shared" si="4"/>
        <v/>
      </c>
      <c r="I24" s="51" t="str">
        <f t="shared" ca="1" si="5"/>
        <v/>
      </c>
      <c r="J24" s="51" t="str">
        <f t="shared" si="6"/>
        <v/>
      </c>
      <c r="K24" s="78" t="str">
        <f t="shared" si="7"/>
        <v/>
      </c>
      <c r="L24" s="52" t="str">
        <f t="shared" ca="1" si="8"/>
        <v/>
      </c>
      <c r="M24" s="53" t="str">
        <f t="shared" si="9"/>
        <v/>
      </c>
      <c r="N24" s="44"/>
      <c r="O24" s="54" t="str">
        <f>IF(ISBLANK(DATA!C22),"",DATA!C22)</f>
        <v/>
      </c>
      <c r="P24" s="55" t="str">
        <f>IF(DATA!C22="","",DATA!D22)</f>
        <v/>
      </c>
      <c r="Q24" s="42" t="str">
        <f>IF(DATA!C22="","",DATA!E22)</f>
        <v/>
      </c>
    </row>
    <row r="25" spans="1:17" x14ac:dyDescent="0.25">
      <c r="A25" s="30"/>
      <c r="B25" s="31"/>
      <c r="C25" s="31"/>
      <c r="D25" s="66"/>
      <c r="E25" s="31"/>
      <c r="F25" s="32"/>
      <c r="G25" s="10" t="e">
        <f t="shared" si="0"/>
        <v>#N/A</v>
      </c>
      <c r="H25" s="50" t="str">
        <f t="shared" si="4"/>
        <v/>
      </c>
      <c r="I25" s="51" t="str">
        <f t="shared" ca="1" si="5"/>
        <v/>
      </c>
      <c r="J25" s="51" t="str">
        <f t="shared" si="6"/>
        <v/>
      </c>
      <c r="K25" s="78" t="str">
        <f t="shared" si="7"/>
        <v/>
      </c>
      <c r="L25" s="52" t="str">
        <f t="shared" ca="1" si="8"/>
        <v/>
      </c>
      <c r="M25" s="53" t="str">
        <f t="shared" si="9"/>
        <v/>
      </c>
      <c r="N25" s="44"/>
      <c r="O25" s="54" t="str">
        <f>IF(ISBLANK(DATA!C23),"",DATA!C23)</f>
        <v/>
      </c>
      <c r="P25" s="55" t="str">
        <f>IF(DATA!C23="","",DATA!D23)</f>
        <v/>
      </c>
      <c r="Q25" s="42" t="str">
        <f>IF(DATA!C23="","",DATA!E23)</f>
        <v/>
      </c>
    </row>
    <row r="26" spans="1:17" x14ac:dyDescent="0.25">
      <c r="A26" s="30"/>
      <c r="B26" s="31"/>
      <c r="C26" s="31"/>
      <c r="D26" s="66"/>
      <c r="E26" s="31"/>
      <c r="F26" s="32"/>
      <c r="G26" s="10" t="e">
        <f t="shared" si="0"/>
        <v>#N/A</v>
      </c>
      <c r="H26" s="50" t="str">
        <f t="shared" si="4"/>
        <v/>
      </c>
      <c r="I26" s="51" t="str">
        <f t="shared" ca="1" si="5"/>
        <v/>
      </c>
      <c r="J26" s="51" t="str">
        <f t="shared" si="6"/>
        <v/>
      </c>
      <c r="K26" s="78" t="str">
        <f t="shared" si="7"/>
        <v/>
      </c>
      <c r="L26" s="52" t="str">
        <f t="shared" ca="1" si="8"/>
        <v/>
      </c>
      <c r="M26" s="53" t="str">
        <f t="shared" si="9"/>
        <v/>
      </c>
      <c r="N26" s="44"/>
      <c r="O26" s="54" t="str">
        <f>IF(ISBLANK(DATA!C24),"",DATA!C24)</f>
        <v/>
      </c>
      <c r="P26" s="55" t="str">
        <f>IF(DATA!C24="","",DATA!D24)</f>
        <v/>
      </c>
      <c r="Q26" s="42" t="str">
        <f>IF(DATA!C24="","",DATA!E24)</f>
        <v/>
      </c>
    </row>
    <row r="27" spans="1:17" x14ac:dyDescent="0.25">
      <c r="A27" s="30"/>
      <c r="B27" s="31"/>
      <c r="C27" s="31"/>
      <c r="D27" s="66"/>
      <c r="E27" s="31"/>
      <c r="F27" s="32"/>
      <c r="G27" s="10" t="e">
        <f t="shared" si="0"/>
        <v>#N/A</v>
      </c>
      <c r="H27" s="50" t="str">
        <f t="shared" si="4"/>
        <v/>
      </c>
      <c r="I27" s="51" t="str">
        <f t="shared" ca="1" si="5"/>
        <v/>
      </c>
      <c r="J27" s="51" t="str">
        <f t="shared" si="6"/>
        <v/>
      </c>
      <c r="K27" s="78" t="str">
        <f t="shared" si="7"/>
        <v/>
      </c>
      <c r="L27" s="52" t="str">
        <f t="shared" ca="1" si="8"/>
        <v/>
      </c>
      <c r="M27" s="56" t="str">
        <f t="shared" si="9"/>
        <v/>
      </c>
      <c r="N27" s="44"/>
      <c r="O27" s="54" t="str">
        <f>IF(ISBLANK(DATA!C25),"",DATA!C25)</f>
        <v/>
      </c>
      <c r="P27" s="55" t="str">
        <f>IF(DATA!C25="","",DATA!D25)</f>
        <v/>
      </c>
      <c r="Q27" s="42" t="str">
        <f>IF(DATA!C25="","",DATA!E25)</f>
        <v/>
      </c>
    </row>
    <row r="28" spans="1:17" x14ac:dyDescent="0.25">
      <c r="A28" s="30"/>
      <c r="B28" s="31"/>
      <c r="C28" s="31"/>
      <c r="D28" s="66"/>
      <c r="E28" s="31"/>
      <c r="F28" s="32"/>
      <c r="G28" s="10" t="e">
        <f t="shared" si="0"/>
        <v>#N/A</v>
      </c>
      <c r="H28" s="50" t="str">
        <f t="shared" si="4"/>
        <v/>
      </c>
      <c r="I28" s="51" t="str">
        <f t="shared" ca="1" si="5"/>
        <v/>
      </c>
      <c r="J28" s="51" t="str">
        <f t="shared" si="6"/>
        <v/>
      </c>
      <c r="K28" s="78" t="str">
        <f t="shared" si="7"/>
        <v/>
      </c>
      <c r="L28" s="52" t="str">
        <f t="shared" ca="1" si="8"/>
        <v/>
      </c>
      <c r="M28" s="53" t="str">
        <f t="shared" si="9"/>
        <v/>
      </c>
      <c r="N28" s="44"/>
      <c r="O28" s="54" t="str">
        <f>IF(ISBLANK(DATA!C26),"",DATA!C26)</f>
        <v/>
      </c>
      <c r="P28" s="55" t="str">
        <f>IF(DATA!C26="","",DATA!D26)</f>
        <v/>
      </c>
      <c r="Q28" s="42" t="str">
        <f>IF(DATA!C26="","",DATA!E26)</f>
        <v/>
      </c>
    </row>
    <row r="29" spans="1:17" x14ac:dyDescent="0.25">
      <c r="A29" s="30"/>
      <c r="B29" s="31"/>
      <c r="C29" s="31"/>
      <c r="D29" s="66"/>
      <c r="E29" s="31"/>
      <c r="F29" s="32"/>
      <c r="G29" s="10" t="e">
        <f t="shared" si="0"/>
        <v>#N/A</v>
      </c>
      <c r="H29" s="50" t="str">
        <f t="shared" si="4"/>
        <v/>
      </c>
      <c r="I29" s="51" t="str">
        <f t="shared" ca="1" si="5"/>
        <v/>
      </c>
      <c r="J29" s="51" t="str">
        <f t="shared" si="6"/>
        <v/>
      </c>
      <c r="K29" s="78" t="str">
        <f t="shared" si="7"/>
        <v/>
      </c>
      <c r="L29" s="52" t="str">
        <f t="shared" ca="1" si="8"/>
        <v/>
      </c>
      <c r="M29" s="53" t="str">
        <f t="shared" si="9"/>
        <v/>
      </c>
      <c r="N29" s="44"/>
      <c r="O29" s="54" t="str">
        <f>IF(ISBLANK(DATA!C27),"",DATA!C27)</f>
        <v/>
      </c>
      <c r="P29" s="55" t="str">
        <f>IF(DATA!C27="","",DATA!D27)</f>
        <v/>
      </c>
      <c r="Q29" s="42" t="str">
        <f>IF(DATA!C27="","",DATA!E27)</f>
        <v/>
      </c>
    </row>
    <row r="30" spans="1:17" x14ac:dyDescent="0.25">
      <c r="A30" s="30"/>
      <c r="B30" s="31"/>
      <c r="C30" s="31"/>
      <c r="D30" s="66"/>
      <c r="E30" s="31"/>
      <c r="F30" s="32"/>
      <c r="G30" s="10" t="e">
        <f t="shared" si="0"/>
        <v>#N/A</v>
      </c>
      <c r="H30" s="50" t="str">
        <f t="shared" si="4"/>
        <v/>
      </c>
      <c r="I30" s="51" t="str">
        <f t="shared" ca="1" si="5"/>
        <v/>
      </c>
      <c r="J30" s="51" t="str">
        <f t="shared" si="6"/>
        <v/>
      </c>
      <c r="K30" s="78" t="str">
        <f t="shared" si="7"/>
        <v/>
      </c>
      <c r="L30" s="52" t="str">
        <f t="shared" ca="1" si="8"/>
        <v/>
      </c>
      <c r="M30" s="53" t="str">
        <f t="shared" si="9"/>
        <v/>
      </c>
      <c r="N30" s="44"/>
      <c r="O30" s="54" t="str">
        <f>IF(ISBLANK(DATA!C28),"",DATA!C28)</f>
        <v/>
      </c>
      <c r="P30" s="55" t="str">
        <f>IF(DATA!C28="","",DATA!D28)</f>
        <v/>
      </c>
      <c r="Q30" s="42" t="str">
        <f>IF(DATA!C28="","",DATA!E28)</f>
        <v/>
      </c>
    </row>
    <row r="31" spans="1:17" x14ac:dyDescent="0.25">
      <c r="A31" s="30"/>
      <c r="B31" s="31"/>
      <c r="C31" s="31"/>
      <c r="D31" s="66"/>
      <c r="E31" s="31"/>
      <c r="F31" s="32"/>
      <c r="G31" s="10" t="e">
        <f t="shared" si="0"/>
        <v>#N/A</v>
      </c>
      <c r="H31" s="50" t="str">
        <f t="shared" si="4"/>
        <v/>
      </c>
      <c r="I31" s="51" t="str">
        <f t="shared" ca="1" si="5"/>
        <v/>
      </c>
      <c r="J31" s="51" t="str">
        <f t="shared" si="6"/>
        <v/>
      </c>
      <c r="K31" s="78" t="str">
        <f t="shared" si="7"/>
        <v/>
      </c>
      <c r="L31" s="52" t="str">
        <f t="shared" ca="1" si="8"/>
        <v/>
      </c>
      <c r="M31" s="53" t="str">
        <f t="shared" si="9"/>
        <v/>
      </c>
      <c r="N31" s="44"/>
      <c r="O31" s="54" t="str">
        <f>IF(ISBLANK(DATA!C29),"",DATA!C29)</f>
        <v/>
      </c>
      <c r="P31" s="55" t="str">
        <f>IF(DATA!C29="","",DATA!D29)</f>
        <v/>
      </c>
      <c r="Q31" s="42" t="str">
        <f>IF(DATA!C29="","",DATA!E29)</f>
        <v/>
      </c>
    </row>
    <row r="32" spans="1:17" x14ac:dyDescent="0.25">
      <c r="A32" s="30"/>
      <c r="B32" s="31"/>
      <c r="C32" s="31"/>
      <c r="D32" s="66"/>
      <c r="E32" s="31"/>
      <c r="F32" s="32"/>
      <c r="G32" s="10" t="e">
        <f t="shared" si="0"/>
        <v>#N/A</v>
      </c>
      <c r="H32" s="57" t="str">
        <f t="shared" si="4"/>
        <v/>
      </c>
      <c r="I32" s="58" t="str">
        <f t="shared" ca="1" si="5"/>
        <v/>
      </c>
      <c r="J32" s="58" t="str">
        <f t="shared" si="6"/>
        <v/>
      </c>
      <c r="K32" s="79" t="str">
        <f t="shared" si="7"/>
        <v/>
      </c>
      <c r="L32" s="59" t="str">
        <f t="shared" ca="1" si="8"/>
        <v/>
      </c>
      <c r="M32" s="60" t="str">
        <f t="shared" si="9"/>
        <v/>
      </c>
      <c r="N32" s="61"/>
      <c r="O32" s="54" t="str">
        <f>IF(ISBLANK(DATA!C31),"",DATA!C31)</f>
        <v/>
      </c>
      <c r="P32" s="55" t="str">
        <f>IF(DATA!C30="","",DATA!D30)</f>
        <v/>
      </c>
      <c r="Q32" s="42" t="str">
        <f>IF(DATA!C30="","",DATA!E30)</f>
        <v/>
      </c>
    </row>
    <row r="33" spans="1:17" x14ac:dyDescent="0.25">
      <c r="A33" s="31"/>
      <c r="B33" s="31"/>
      <c r="C33" s="31"/>
      <c r="D33" s="66"/>
      <c r="E33" s="31"/>
      <c r="F33" s="32"/>
      <c r="G33" s="10" t="e">
        <f t="shared" si="0"/>
        <v>#N/A</v>
      </c>
      <c r="H33" s="50" t="str">
        <f t="shared" si="4"/>
        <v/>
      </c>
      <c r="I33" s="51" t="str">
        <f t="shared" ca="1" si="5"/>
        <v/>
      </c>
      <c r="J33" s="51" t="str">
        <f t="shared" si="6"/>
        <v/>
      </c>
      <c r="K33" s="78" t="str">
        <f t="shared" si="7"/>
        <v/>
      </c>
      <c r="L33" s="52" t="str">
        <f t="shared" ca="1" si="8"/>
        <v/>
      </c>
      <c r="M33" s="53" t="str">
        <f t="shared" si="9"/>
        <v/>
      </c>
      <c r="N33" s="44"/>
      <c r="O33" s="54">
        <f t="shared" ref="O33:P48" si="10">IF(ISBLANK(O4),"",O4)</f>
        <v>1</v>
      </c>
      <c r="P33" s="54" t="str">
        <f t="shared" si="10"/>
        <v>Combi (5080)</v>
      </c>
      <c r="Q33" s="42">
        <f>Q4</f>
        <v>0</v>
      </c>
    </row>
    <row r="34" spans="1:17" x14ac:dyDescent="0.25">
      <c r="A34" s="31"/>
      <c r="B34" s="31"/>
      <c r="C34" s="31"/>
      <c r="D34" s="66"/>
      <c r="E34" s="31"/>
      <c r="F34" s="32"/>
      <c r="G34" s="10" t="e">
        <f t="shared" si="0"/>
        <v>#N/A</v>
      </c>
      <c r="H34" s="50" t="str">
        <f t="shared" si="4"/>
        <v/>
      </c>
      <c r="I34" s="51" t="str">
        <f t="shared" ca="1" si="5"/>
        <v/>
      </c>
      <c r="J34" s="51" t="str">
        <f t="shared" si="6"/>
        <v/>
      </c>
      <c r="K34" s="78" t="str">
        <f t="shared" si="7"/>
        <v/>
      </c>
      <c r="L34" s="52" t="str">
        <f t="shared" ca="1" si="8"/>
        <v/>
      </c>
      <c r="M34" s="53" t="str">
        <f t="shared" si="9"/>
        <v/>
      </c>
      <c r="N34" s="44"/>
      <c r="O34" s="54">
        <f t="shared" si="10"/>
        <v>2</v>
      </c>
      <c r="P34" s="54" t="str">
        <f t="shared" si="10"/>
        <v>Carnauba wax (6107)</v>
      </c>
      <c r="Q34" s="42">
        <f t="shared" ref="Q34:Q61" si="11">Q5</f>
        <v>0</v>
      </c>
    </row>
    <row r="35" spans="1:17" x14ac:dyDescent="0.25">
      <c r="A35" s="31"/>
      <c r="B35" s="31"/>
      <c r="C35" s="31"/>
      <c r="D35" s="66"/>
      <c r="E35" s="31"/>
      <c r="F35" s="32"/>
      <c r="G35" s="10" t="e">
        <f t="shared" si="0"/>
        <v>#N/A</v>
      </c>
      <c r="H35" s="50" t="str">
        <f t="shared" si="4"/>
        <v/>
      </c>
      <c r="I35" s="51" t="str">
        <f t="shared" ca="1" si="5"/>
        <v/>
      </c>
      <c r="J35" s="51" t="str">
        <f t="shared" si="6"/>
        <v/>
      </c>
      <c r="K35" s="78" t="str">
        <f t="shared" si="7"/>
        <v/>
      </c>
      <c r="L35" s="52" t="str">
        <f t="shared" ca="1" si="8"/>
        <v/>
      </c>
      <c r="M35" s="53" t="str">
        <f t="shared" si="9"/>
        <v/>
      </c>
      <c r="N35" s="44"/>
      <c r="O35" s="54">
        <f t="shared" si="10"/>
        <v>3</v>
      </c>
      <c r="P35" s="54" t="str">
        <f t="shared" si="10"/>
        <v>Chloormequat (4361)</v>
      </c>
      <c r="Q35" s="42">
        <f t="shared" si="11"/>
        <v>0</v>
      </c>
    </row>
    <row r="36" spans="1:17" x14ac:dyDescent="0.25">
      <c r="A36" s="31"/>
      <c r="B36" s="31"/>
      <c r="C36" s="31"/>
      <c r="D36" s="66"/>
      <c r="E36" s="31"/>
      <c r="F36" s="32"/>
      <c r="G36" s="10" t="e">
        <f t="shared" ref="G36:G61" si="12">VLOOKUP(A36,Leveranciers,2,FALSE)</f>
        <v>#N/A</v>
      </c>
      <c r="H36" s="50" t="str">
        <f t="shared" si="4"/>
        <v/>
      </c>
      <c r="I36" s="51" t="str">
        <f t="shared" ca="1" si="5"/>
        <v/>
      </c>
      <c r="J36" s="51" t="str">
        <f t="shared" si="6"/>
        <v/>
      </c>
      <c r="K36" s="78" t="str">
        <f t="shared" si="7"/>
        <v/>
      </c>
      <c r="L36" s="52" t="str">
        <f t="shared" ca="1" si="8"/>
        <v/>
      </c>
      <c r="M36" s="53" t="str">
        <f t="shared" si="9"/>
        <v/>
      </c>
      <c r="N36" s="44"/>
      <c r="O36" s="54">
        <f t="shared" si="10"/>
        <v>4</v>
      </c>
      <c r="P36" s="54" t="str">
        <f t="shared" si="10"/>
        <v>DDAC/BAC (6653)</v>
      </c>
      <c r="Q36" s="42">
        <f t="shared" si="11"/>
        <v>0</v>
      </c>
    </row>
    <row r="37" spans="1:17" x14ac:dyDescent="0.25">
      <c r="A37" s="31"/>
      <c r="B37" s="31"/>
      <c r="C37" s="31"/>
      <c r="D37" s="66"/>
      <c r="E37" s="31"/>
      <c r="F37" s="32"/>
      <c r="G37" s="10" t="e">
        <f t="shared" si="12"/>
        <v>#N/A</v>
      </c>
      <c r="H37" s="50" t="str">
        <f t="shared" si="4"/>
        <v/>
      </c>
      <c r="I37" s="51" t="str">
        <f t="shared" ca="1" si="5"/>
        <v/>
      </c>
      <c r="J37" s="51" t="str">
        <f t="shared" si="6"/>
        <v/>
      </c>
      <c r="K37" s="78" t="str">
        <f t="shared" si="7"/>
        <v/>
      </c>
      <c r="L37" s="52" t="str">
        <f t="shared" ca="1" si="8"/>
        <v/>
      </c>
      <c r="M37" s="53" t="str">
        <f t="shared" si="9"/>
        <v/>
      </c>
      <c r="N37" s="44"/>
      <c r="O37" s="54">
        <f t="shared" si="10"/>
        <v>5</v>
      </c>
      <c r="P37" s="54" t="str">
        <f t="shared" si="10"/>
        <v>Dithiocarbamaten (3774)</v>
      </c>
      <c r="Q37" s="42">
        <f t="shared" si="11"/>
        <v>0</v>
      </c>
    </row>
    <row r="38" spans="1:17" x14ac:dyDescent="0.25">
      <c r="A38" s="31"/>
      <c r="B38" s="31"/>
      <c r="C38" s="31"/>
      <c r="D38" s="66"/>
      <c r="E38" s="31"/>
      <c r="F38" s="32"/>
      <c r="G38" s="10" t="e">
        <f t="shared" si="12"/>
        <v>#N/A</v>
      </c>
      <c r="H38" s="50" t="str">
        <f t="shared" si="4"/>
        <v/>
      </c>
      <c r="I38" s="51" t="str">
        <f t="shared" ca="1" si="5"/>
        <v/>
      </c>
      <c r="J38" s="51" t="str">
        <f t="shared" si="6"/>
        <v/>
      </c>
      <c r="K38" s="78" t="str">
        <f t="shared" si="7"/>
        <v/>
      </c>
      <c r="L38" s="52" t="str">
        <f t="shared" ca="1" si="8"/>
        <v/>
      </c>
      <c r="M38" s="53" t="str">
        <f t="shared" si="9"/>
        <v/>
      </c>
      <c r="N38" s="44"/>
      <c r="O38" s="54">
        <f t="shared" si="10"/>
        <v>6</v>
      </c>
      <c r="P38" s="54" t="str">
        <f t="shared" si="10"/>
        <v>Ethepon (3775)</v>
      </c>
      <c r="Q38" s="42">
        <f t="shared" si="11"/>
        <v>0</v>
      </c>
    </row>
    <row r="39" spans="1:17" x14ac:dyDescent="0.25">
      <c r="A39" s="31"/>
      <c r="B39" s="31"/>
      <c r="C39" s="31"/>
      <c r="D39" s="66"/>
      <c r="E39" s="31"/>
      <c r="F39" s="32"/>
      <c r="G39" s="10" t="e">
        <f t="shared" si="12"/>
        <v>#N/A</v>
      </c>
      <c r="H39" s="50" t="str">
        <f t="shared" si="4"/>
        <v/>
      </c>
      <c r="I39" s="51" t="str">
        <f t="shared" ca="1" si="5"/>
        <v/>
      </c>
      <c r="J39" s="51" t="str">
        <f t="shared" si="6"/>
        <v/>
      </c>
      <c r="K39" s="78" t="str">
        <f t="shared" si="7"/>
        <v/>
      </c>
      <c r="L39" s="52" t="str">
        <f t="shared" ca="1" si="8"/>
        <v/>
      </c>
      <c r="M39" s="53" t="str">
        <f t="shared" si="9"/>
        <v/>
      </c>
      <c r="N39" s="44"/>
      <c r="O39" s="54">
        <f t="shared" si="10"/>
        <v>7</v>
      </c>
      <c r="P39" s="54" t="str">
        <f t="shared" si="10"/>
        <v>Fenbutation-oxide (6105)</v>
      </c>
      <c r="Q39" s="42">
        <f t="shared" si="11"/>
        <v>0</v>
      </c>
    </row>
    <row r="40" spans="1:17" x14ac:dyDescent="0.25">
      <c r="A40" s="31"/>
      <c r="B40" s="31"/>
      <c r="C40" s="31"/>
      <c r="D40" s="66"/>
      <c r="E40" s="31"/>
      <c r="F40" s="32"/>
      <c r="G40" s="10" t="e">
        <f t="shared" si="12"/>
        <v>#N/A</v>
      </c>
      <c r="H40" s="50" t="str">
        <f t="shared" si="4"/>
        <v/>
      </c>
      <c r="I40" s="51" t="str">
        <f t="shared" ca="1" si="5"/>
        <v/>
      </c>
      <c r="J40" s="51" t="str">
        <f t="shared" si="6"/>
        <v/>
      </c>
      <c r="K40" s="78" t="str">
        <f t="shared" si="7"/>
        <v/>
      </c>
      <c r="L40" s="52" t="str">
        <f t="shared" ca="1" si="8"/>
        <v/>
      </c>
      <c r="M40" s="53" t="str">
        <f t="shared" si="9"/>
        <v/>
      </c>
      <c r="N40" s="44"/>
      <c r="O40" s="54">
        <f t="shared" si="10"/>
        <v>8</v>
      </c>
      <c r="P40" s="54" t="str">
        <f t="shared" si="10"/>
        <v>Morfoline (6170)</v>
      </c>
      <c r="Q40" s="42">
        <f t="shared" si="11"/>
        <v>0</v>
      </c>
    </row>
    <row r="41" spans="1:17" x14ac:dyDescent="0.25">
      <c r="A41" s="31"/>
      <c r="B41" s="31"/>
      <c r="C41" s="31"/>
      <c r="D41" s="66"/>
      <c r="E41" s="31"/>
      <c r="F41" s="32"/>
      <c r="G41" s="10" t="e">
        <f t="shared" si="12"/>
        <v>#N/A</v>
      </c>
      <c r="H41" s="50" t="str">
        <f t="shared" si="4"/>
        <v/>
      </c>
      <c r="I41" s="51" t="str">
        <f t="shared" ca="1" si="5"/>
        <v/>
      </c>
      <c r="J41" s="51" t="str">
        <f t="shared" si="6"/>
        <v/>
      </c>
      <c r="K41" s="78" t="str">
        <f t="shared" si="7"/>
        <v/>
      </c>
      <c r="L41" s="52" t="str">
        <f t="shared" ca="1" si="8"/>
        <v/>
      </c>
      <c r="M41" s="53" t="str">
        <f t="shared" si="9"/>
        <v/>
      </c>
      <c r="N41" s="44"/>
      <c r="O41" s="54">
        <f t="shared" si="10"/>
        <v>9</v>
      </c>
      <c r="P41" s="54" t="str">
        <f t="shared" si="10"/>
        <v>Paraquat</v>
      </c>
      <c r="Q41" s="42">
        <f t="shared" si="11"/>
        <v>0</v>
      </c>
    </row>
    <row r="42" spans="1:17" x14ac:dyDescent="0.25">
      <c r="A42" s="31"/>
      <c r="B42" s="31"/>
      <c r="C42" s="31"/>
      <c r="D42" s="66"/>
      <c r="E42" s="31"/>
      <c r="F42" s="32"/>
      <c r="G42" s="10" t="e">
        <f t="shared" si="12"/>
        <v>#N/A</v>
      </c>
      <c r="H42" s="50" t="str">
        <f t="shared" si="4"/>
        <v/>
      </c>
      <c r="I42" s="51" t="str">
        <f t="shared" ca="1" si="5"/>
        <v/>
      </c>
      <c r="J42" s="51" t="str">
        <f t="shared" si="6"/>
        <v/>
      </c>
      <c r="K42" s="78" t="str">
        <f t="shared" si="7"/>
        <v/>
      </c>
      <c r="L42" s="52" t="str">
        <f t="shared" ca="1" si="8"/>
        <v/>
      </c>
      <c r="M42" s="53" t="str">
        <f t="shared" si="9"/>
        <v/>
      </c>
      <c r="N42" s="44"/>
      <c r="O42" s="54">
        <f t="shared" si="10"/>
        <v>10</v>
      </c>
      <c r="P42" s="54" t="str">
        <f t="shared" si="10"/>
        <v>Per-chloraat (6762)</v>
      </c>
      <c r="Q42" s="42">
        <f t="shared" si="11"/>
        <v>0</v>
      </c>
    </row>
    <row r="43" spans="1:17" x14ac:dyDescent="0.25">
      <c r="A43" s="31"/>
      <c r="B43" s="31"/>
      <c r="C43" s="31"/>
      <c r="D43" s="66"/>
      <c r="E43" s="31"/>
      <c r="F43" s="32"/>
      <c r="G43" s="10" t="e">
        <f t="shared" si="12"/>
        <v>#N/A</v>
      </c>
      <c r="H43" s="50" t="str">
        <f t="shared" si="4"/>
        <v/>
      </c>
      <c r="I43" s="51" t="str">
        <f t="shared" ca="1" si="5"/>
        <v/>
      </c>
      <c r="J43" s="51" t="str">
        <f t="shared" si="6"/>
        <v/>
      </c>
      <c r="K43" s="78" t="str">
        <f t="shared" si="7"/>
        <v/>
      </c>
      <c r="L43" s="52" t="str">
        <f t="shared" ca="1" si="8"/>
        <v/>
      </c>
      <c r="M43" s="53" t="str">
        <f t="shared" si="9"/>
        <v/>
      </c>
      <c r="N43" s="44"/>
      <c r="O43" s="54">
        <f t="shared" si="10"/>
        <v>11</v>
      </c>
      <c r="P43" s="54" t="str">
        <f t="shared" si="10"/>
        <v>Fosetyl-AL (6802)</v>
      </c>
      <c r="Q43" s="42">
        <f t="shared" si="11"/>
        <v>0</v>
      </c>
    </row>
    <row r="44" spans="1:17" x14ac:dyDescent="0.25">
      <c r="A44" s="31"/>
      <c r="B44" s="31"/>
      <c r="C44" s="31"/>
      <c r="D44" s="66"/>
      <c r="E44" s="31"/>
      <c r="F44" s="32"/>
      <c r="G44" s="10" t="e">
        <f t="shared" si="12"/>
        <v>#N/A</v>
      </c>
      <c r="H44" s="50" t="str">
        <f t="shared" si="4"/>
        <v/>
      </c>
      <c r="I44" s="51" t="str">
        <f t="shared" ca="1" si="5"/>
        <v/>
      </c>
      <c r="J44" s="51" t="str">
        <f t="shared" si="6"/>
        <v/>
      </c>
      <c r="K44" s="78" t="str">
        <f t="shared" si="7"/>
        <v/>
      </c>
      <c r="L44" s="52" t="str">
        <f t="shared" ca="1" si="8"/>
        <v/>
      </c>
      <c r="M44" s="53" t="str">
        <f t="shared" si="9"/>
        <v/>
      </c>
      <c r="N44" s="44"/>
      <c r="O44" s="54">
        <f t="shared" si="10"/>
        <v>12</v>
      </c>
      <c r="P44" s="54" t="str">
        <f t="shared" si="10"/>
        <v>Droge stof</v>
      </c>
      <c r="Q44" s="42">
        <f t="shared" si="11"/>
        <v>0</v>
      </c>
    </row>
    <row r="45" spans="1:17" x14ac:dyDescent="0.25">
      <c r="A45" s="31"/>
      <c r="B45" s="31"/>
      <c r="C45" s="31"/>
      <c r="D45" s="66"/>
      <c r="E45" s="31"/>
      <c r="F45" s="32"/>
      <c r="G45" s="10" t="e">
        <f t="shared" si="12"/>
        <v>#N/A</v>
      </c>
      <c r="H45" s="50" t="str">
        <f t="shared" si="4"/>
        <v/>
      </c>
      <c r="I45" s="51" t="str">
        <f t="shared" ca="1" si="5"/>
        <v/>
      </c>
      <c r="J45" s="51" t="str">
        <f t="shared" si="6"/>
        <v/>
      </c>
      <c r="K45" s="78" t="str">
        <f t="shared" si="7"/>
        <v/>
      </c>
      <c r="L45" s="52" t="str">
        <f t="shared" ca="1" si="8"/>
        <v/>
      </c>
      <c r="M45" s="53" t="str">
        <f t="shared" si="9"/>
        <v/>
      </c>
      <c r="N45" s="44"/>
      <c r="O45" s="54">
        <f t="shared" si="10"/>
        <v>13</v>
      </c>
      <c r="P45" s="54" t="str">
        <f t="shared" si="10"/>
        <v>Ruw vet</v>
      </c>
      <c r="Q45" s="42">
        <f t="shared" si="11"/>
        <v>0</v>
      </c>
    </row>
    <row r="46" spans="1:17" x14ac:dyDescent="0.25">
      <c r="A46" s="31"/>
      <c r="B46" s="31"/>
      <c r="C46" s="31"/>
      <c r="D46" s="66"/>
      <c r="E46" s="31"/>
      <c r="F46" s="32"/>
      <c r="G46" s="10" t="e">
        <f t="shared" si="12"/>
        <v>#N/A</v>
      </c>
      <c r="H46" s="50" t="str">
        <f t="shared" si="4"/>
        <v/>
      </c>
      <c r="I46" s="51" t="str">
        <f t="shared" ca="1" si="5"/>
        <v/>
      </c>
      <c r="J46" s="51" t="str">
        <f t="shared" si="6"/>
        <v/>
      </c>
      <c r="K46" s="78" t="str">
        <f t="shared" si="7"/>
        <v/>
      </c>
      <c r="L46" s="52" t="str">
        <f t="shared" ca="1" si="8"/>
        <v/>
      </c>
      <c r="M46" s="53" t="str">
        <f t="shared" si="9"/>
        <v/>
      </c>
      <c r="N46" s="44"/>
      <c r="O46" s="54">
        <f t="shared" si="10"/>
        <v>14</v>
      </c>
      <c r="P46" s="54" t="str">
        <f t="shared" si="10"/>
        <v>Zuur/Suiker (eigen)</v>
      </c>
      <c r="Q46" s="42">
        <f t="shared" si="11"/>
        <v>0</v>
      </c>
    </row>
    <row r="47" spans="1:17" x14ac:dyDescent="0.25">
      <c r="A47" s="31"/>
      <c r="B47" s="31"/>
      <c r="C47" s="31"/>
      <c r="D47" s="66"/>
      <c r="E47" s="31"/>
      <c r="F47" s="32"/>
      <c r="G47" s="10" t="e">
        <f t="shared" si="12"/>
        <v>#N/A</v>
      </c>
      <c r="H47" s="50" t="str">
        <f t="shared" si="4"/>
        <v/>
      </c>
      <c r="I47" s="51" t="str">
        <f t="shared" ca="1" si="5"/>
        <v/>
      </c>
      <c r="J47" s="51" t="str">
        <f t="shared" si="6"/>
        <v/>
      </c>
      <c r="K47" s="78" t="str">
        <f t="shared" si="7"/>
        <v/>
      </c>
      <c r="L47" s="52" t="str">
        <f t="shared" ca="1" si="8"/>
        <v/>
      </c>
      <c r="M47" s="53" t="str">
        <f t="shared" si="9"/>
        <v/>
      </c>
      <c r="N47" s="44"/>
      <c r="O47" s="54">
        <f t="shared" si="10"/>
        <v>15</v>
      </c>
      <c r="P47" s="54" t="str">
        <f t="shared" si="10"/>
        <v>Sap (eigen)</v>
      </c>
      <c r="Q47" s="42">
        <f t="shared" si="11"/>
        <v>0</v>
      </c>
    </row>
    <row r="48" spans="1:17" x14ac:dyDescent="0.25">
      <c r="A48" s="31"/>
      <c r="B48" s="31"/>
      <c r="C48" s="31"/>
      <c r="D48" s="66"/>
      <c r="E48" s="31"/>
      <c r="F48" s="32"/>
      <c r="G48" s="10" t="e">
        <f t="shared" si="12"/>
        <v>#N/A</v>
      </c>
      <c r="H48" s="50" t="str">
        <f t="shared" si="4"/>
        <v/>
      </c>
      <c r="I48" s="51" t="str">
        <f t="shared" ca="1" si="5"/>
        <v/>
      </c>
      <c r="J48" s="51" t="str">
        <f t="shared" si="6"/>
        <v/>
      </c>
      <c r="K48" s="78" t="str">
        <f t="shared" si="7"/>
        <v/>
      </c>
      <c r="L48" s="52" t="str">
        <f t="shared" ca="1" si="8"/>
        <v/>
      </c>
      <c r="M48" s="53" t="str">
        <f t="shared" si="9"/>
        <v/>
      </c>
      <c r="N48" s="44"/>
      <c r="O48" s="54">
        <f t="shared" si="10"/>
        <v>16</v>
      </c>
      <c r="P48" s="54" t="str">
        <f t="shared" si="10"/>
        <v>Microbiologische</v>
      </c>
      <c r="Q48" s="42">
        <f t="shared" si="11"/>
        <v>0</v>
      </c>
    </row>
    <row r="49" spans="1:17" x14ac:dyDescent="0.25">
      <c r="A49" s="31"/>
      <c r="B49" s="31"/>
      <c r="C49" s="31"/>
      <c r="D49" s="66"/>
      <c r="E49" s="31"/>
      <c r="F49" s="32"/>
      <c r="G49" s="10" t="e">
        <f t="shared" si="12"/>
        <v>#N/A</v>
      </c>
      <c r="H49" s="50" t="str">
        <f t="shared" si="4"/>
        <v/>
      </c>
      <c r="I49" s="51" t="str">
        <f t="shared" ca="1" si="5"/>
        <v/>
      </c>
      <c r="J49" s="51" t="str">
        <f t="shared" si="6"/>
        <v/>
      </c>
      <c r="K49" s="78" t="str">
        <f t="shared" si="7"/>
        <v/>
      </c>
      <c r="L49" s="52" t="str">
        <f t="shared" ca="1" si="8"/>
        <v/>
      </c>
      <c r="M49" s="53" t="str">
        <f t="shared" si="9"/>
        <v/>
      </c>
      <c r="N49" s="44"/>
      <c r="O49" s="54" t="str">
        <f t="shared" ref="O49:P61" si="13">IF(ISBLANK(O20),"",O20)</f>
        <v/>
      </c>
      <c r="P49" s="54" t="str">
        <f t="shared" si="13"/>
        <v/>
      </c>
      <c r="Q49" s="42" t="str">
        <f t="shared" si="11"/>
        <v/>
      </c>
    </row>
    <row r="50" spans="1:17" x14ac:dyDescent="0.25">
      <c r="A50" s="31"/>
      <c r="B50" s="31"/>
      <c r="C50" s="31"/>
      <c r="D50" s="66"/>
      <c r="E50" s="31"/>
      <c r="F50" s="32"/>
      <c r="G50" s="10" t="e">
        <f t="shared" si="12"/>
        <v>#N/A</v>
      </c>
      <c r="H50" s="50" t="str">
        <f t="shared" si="4"/>
        <v/>
      </c>
      <c r="I50" s="51" t="str">
        <f t="shared" ca="1" si="5"/>
        <v/>
      </c>
      <c r="J50" s="51" t="str">
        <f t="shared" si="6"/>
        <v/>
      </c>
      <c r="K50" s="78" t="str">
        <f t="shared" si="7"/>
        <v/>
      </c>
      <c r="L50" s="52" t="str">
        <f t="shared" ca="1" si="8"/>
        <v/>
      </c>
      <c r="M50" s="53" t="str">
        <f t="shared" si="9"/>
        <v/>
      </c>
      <c r="N50" s="44"/>
      <c r="O50" s="54" t="str">
        <f t="shared" si="13"/>
        <v/>
      </c>
      <c r="P50" s="54" t="str">
        <f t="shared" si="13"/>
        <v/>
      </c>
      <c r="Q50" s="42" t="str">
        <f t="shared" si="11"/>
        <v/>
      </c>
    </row>
    <row r="51" spans="1:17" x14ac:dyDescent="0.25">
      <c r="A51" s="31"/>
      <c r="B51" s="31"/>
      <c r="C51" s="31"/>
      <c r="D51" s="66"/>
      <c r="E51" s="31"/>
      <c r="F51" s="32"/>
      <c r="G51" s="10" t="e">
        <f t="shared" si="12"/>
        <v>#N/A</v>
      </c>
      <c r="H51" s="50" t="str">
        <f t="shared" si="4"/>
        <v/>
      </c>
      <c r="I51" s="51" t="str">
        <f t="shared" ca="1" si="5"/>
        <v/>
      </c>
      <c r="J51" s="51" t="str">
        <f t="shared" si="6"/>
        <v/>
      </c>
      <c r="K51" s="78" t="str">
        <f t="shared" si="7"/>
        <v/>
      </c>
      <c r="L51" s="52" t="str">
        <f t="shared" ca="1" si="8"/>
        <v/>
      </c>
      <c r="M51" s="53" t="str">
        <f t="shared" si="9"/>
        <v/>
      </c>
      <c r="N51" s="44"/>
      <c r="O51" s="54" t="str">
        <f t="shared" si="13"/>
        <v/>
      </c>
      <c r="P51" s="54" t="str">
        <f t="shared" si="13"/>
        <v/>
      </c>
      <c r="Q51" s="42" t="str">
        <f t="shared" si="11"/>
        <v/>
      </c>
    </row>
    <row r="52" spans="1:17" x14ac:dyDescent="0.25">
      <c r="A52" s="31"/>
      <c r="B52" s="31"/>
      <c r="C52" s="31"/>
      <c r="D52" s="66"/>
      <c r="E52" s="31"/>
      <c r="F52" s="32"/>
      <c r="G52" s="10" t="e">
        <f t="shared" si="12"/>
        <v>#N/A</v>
      </c>
      <c r="H52" s="50" t="str">
        <f t="shared" si="4"/>
        <v/>
      </c>
      <c r="I52" s="51" t="str">
        <f t="shared" ca="1" si="5"/>
        <v/>
      </c>
      <c r="J52" s="51" t="str">
        <f t="shared" si="6"/>
        <v/>
      </c>
      <c r="K52" s="78" t="str">
        <f t="shared" si="7"/>
        <v/>
      </c>
      <c r="L52" s="52" t="str">
        <f t="shared" ca="1" si="8"/>
        <v/>
      </c>
      <c r="M52" s="53" t="str">
        <f t="shared" si="9"/>
        <v/>
      </c>
      <c r="N52" s="44"/>
      <c r="O52" s="54" t="str">
        <f t="shared" si="13"/>
        <v/>
      </c>
      <c r="P52" s="54" t="str">
        <f t="shared" si="13"/>
        <v/>
      </c>
      <c r="Q52" s="42" t="str">
        <f t="shared" si="11"/>
        <v/>
      </c>
    </row>
    <row r="53" spans="1:17" x14ac:dyDescent="0.25">
      <c r="A53" s="31"/>
      <c r="B53" s="31"/>
      <c r="C53" s="31"/>
      <c r="D53" s="66"/>
      <c r="E53" s="31"/>
      <c r="F53" s="32"/>
      <c r="G53" s="10" t="e">
        <f t="shared" si="12"/>
        <v>#N/A</v>
      </c>
      <c r="H53" s="50" t="str">
        <f t="shared" si="4"/>
        <v/>
      </c>
      <c r="I53" s="51" t="str">
        <f t="shared" ca="1" si="5"/>
        <v/>
      </c>
      <c r="J53" s="51" t="str">
        <f t="shared" si="6"/>
        <v/>
      </c>
      <c r="K53" s="78" t="str">
        <f t="shared" si="7"/>
        <v/>
      </c>
      <c r="L53" s="52" t="str">
        <f t="shared" ca="1" si="8"/>
        <v/>
      </c>
      <c r="M53" s="53" t="str">
        <f t="shared" si="9"/>
        <v/>
      </c>
      <c r="N53" s="44"/>
      <c r="O53" s="54" t="str">
        <f t="shared" si="13"/>
        <v/>
      </c>
      <c r="P53" s="54" t="str">
        <f t="shared" si="13"/>
        <v/>
      </c>
      <c r="Q53" s="42" t="str">
        <f t="shared" si="11"/>
        <v/>
      </c>
    </row>
    <row r="54" spans="1:17" x14ac:dyDescent="0.25">
      <c r="A54" s="31"/>
      <c r="B54" s="31"/>
      <c r="C54" s="31"/>
      <c r="D54" s="66"/>
      <c r="E54" s="31"/>
      <c r="F54" s="32"/>
      <c r="G54" s="10" t="e">
        <f t="shared" si="12"/>
        <v>#N/A</v>
      </c>
      <c r="H54" s="50" t="str">
        <f t="shared" si="4"/>
        <v/>
      </c>
      <c r="I54" s="51" t="str">
        <f t="shared" ca="1" si="5"/>
        <v/>
      </c>
      <c r="J54" s="51" t="str">
        <f t="shared" si="6"/>
        <v/>
      </c>
      <c r="K54" s="78" t="str">
        <f t="shared" si="7"/>
        <v/>
      </c>
      <c r="L54" s="52" t="str">
        <f t="shared" ca="1" si="8"/>
        <v/>
      </c>
      <c r="M54" s="53" t="str">
        <f t="shared" si="9"/>
        <v/>
      </c>
      <c r="N54" s="44"/>
      <c r="O54" s="54" t="str">
        <f t="shared" si="13"/>
        <v/>
      </c>
      <c r="P54" s="54" t="str">
        <f t="shared" si="13"/>
        <v/>
      </c>
      <c r="Q54" s="42" t="str">
        <f t="shared" si="11"/>
        <v/>
      </c>
    </row>
    <row r="55" spans="1:17" x14ac:dyDescent="0.25">
      <c r="A55" s="31"/>
      <c r="B55" s="31"/>
      <c r="C55" s="31"/>
      <c r="D55" s="66"/>
      <c r="E55" s="31"/>
      <c r="F55" s="32"/>
      <c r="G55" s="10" t="e">
        <f t="shared" si="12"/>
        <v>#N/A</v>
      </c>
      <c r="H55" s="50" t="str">
        <f t="shared" si="4"/>
        <v/>
      </c>
      <c r="I55" s="51" t="str">
        <f t="shared" ca="1" si="5"/>
        <v/>
      </c>
      <c r="J55" s="51" t="str">
        <f t="shared" si="6"/>
        <v/>
      </c>
      <c r="K55" s="78" t="str">
        <f t="shared" si="7"/>
        <v/>
      </c>
      <c r="L55" s="52" t="str">
        <f t="shared" ca="1" si="8"/>
        <v/>
      </c>
      <c r="M55" s="53" t="str">
        <f t="shared" si="9"/>
        <v/>
      </c>
      <c r="N55" s="44"/>
      <c r="O55" s="54" t="str">
        <f t="shared" si="13"/>
        <v/>
      </c>
      <c r="P55" s="54" t="str">
        <f t="shared" si="13"/>
        <v/>
      </c>
      <c r="Q55" s="42" t="str">
        <f t="shared" si="11"/>
        <v/>
      </c>
    </row>
    <row r="56" spans="1:17" x14ac:dyDescent="0.25">
      <c r="A56" s="31"/>
      <c r="B56" s="31"/>
      <c r="C56" s="31"/>
      <c r="D56" s="66"/>
      <c r="E56" s="31"/>
      <c r="F56" s="32"/>
      <c r="G56" s="10" t="e">
        <f t="shared" si="12"/>
        <v>#N/A</v>
      </c>
      <c r="H56" s="50" t="str">
        <f t="shared" si="4"/>
        <v/>
      </c>
      <c r="I56" s="51" t="str">
        <f t="shared" ca="1" si="5"/>
        <v/>
      </c>
      <c r="J56" s="51" t="str">
        <f t="shared" si="6"/>
        <v/>
      </c>
      <c r="K56" s="78" t="str">
        <f t="shared" si="7"/>
        <v/>
      </c>
      <c r="L56" s="52" t="str">
        <f t="shared" ca="1" si="8"/>
        <v/>
      </c>
      <c r="M56" s="53" t="str">
        <f t="shared" si="9"/>
        <v/>
      </c>
      <c r="N56" s="44"/>
      <c r="O56" s="54" t="str">
        <f t="shared" si="13"/>
        <v/>
      </c>
      <c r="P56" s="54" t="str">
        <f t="shared" si="13"/>
        <v/>
      </c>
      <c r="Q56" s="42" t="str">
        <f t="shared" si="11"/>
        <v/>
      </c>
    </row>
    <row r="57" spans="1:17" x14ac:dyDescent="0.25">
      <c r="A57" s="31"/>
      <c r="B57" s="31"/>
      <c r="C57" s="31"/>
      <c r="D57" s="66"/>
      <c r="E57" s="31"/>
      <c r="F57" s="32"/>
      <c r="G57" s="10" t="e">
        <f t="shared" si="12"/>
        <v>#N/A</v>
      </c>
      <c r="H57" s="50" t="str">
        <f t="shared" si="4"/>
        <v/>
      </c>
      <c r="I57" s="51" t="str">
        <f t="shared" ca="1" si="5"/>
        <v/>
      </c>
      <c r="J57" s="51" t="str">
        <f t="shared" si="6"/>
        <v/>
      </c>
      <c r="K57" s="78" t="str">
        <f t="shared" si="7"/>
        <v/>
      </c>
      <c r="L57" s="52" t="str">
        <f t="shared" ca="1" si="8"/>
        <v/>
      </c>
      <c r="M57" s="53" t="str">
        <f t="shared" si="9"/>
        <v/>
      </c>
      <c r="N57" s="44"/>
      <c r="O57" s="54" t="str">
        <f t="shared" si="13"/>
        <v/>
      </c>
      <c r="P57" s="54" t="str">
        <f t="shared" si="13"/>
        <v/>
      </c>
      <c r="Q57" s="42" t="str">
        <f t="shared" si="11"/>
        <v/>
      </c>
    </row>
    <row r="58" spans="1:17" x14ac:dyDescent="0.25">
      <c r="A58" s="31"/>
      <c r="B58" s="31"/>
      <c r="C58" s="31"/>
      <c r="D58" s="66"/>
      <c r="E58" s="31"/>
      <c r="F58" s="32"/>
      <c r="G58" s="10" t="e">
        <f t="shared" si="12"/>
        <v>#N/A</v>
      </c>
      <c r="H58" s="50" t="str">
        <f t="shared" si="4"/>
        <v/>
      </c>
      <c r="I58" s="51" t="str">
        <f t="shared" ca="1" si="5"/>
        <v/>
      </c>
      <c r="J58" s="51" t="str">
        <f t="shared" si="6"/>
        <v/>
      </c>
      <c r="K58" s="78" t="str">
        <f t="shared" si="7"/>
        <v/>
      </c>
      <c r="L58" s="52" t="str">
        <f t="shared" ca="1" si="8"/>
        <v/>
      </c>
      <c r="M58" s="53" t="str">
        <f t="shared" si="9"/>
        <v/>
      </c>
      <c r="N58" s="44"/>
      <c r="O58" s="54" t="str">
        <f t="shared" si="13"/>
        <v/>
      </c>
      <c r="P58" s="54" t="str">
        <f t="shared" si="13"/>
        <v/>
      </c>
      <c r="Q58" s="42" t="str">
        <f t="shared" si="11"/>
        <v/>
      </c>
    </row>
    <row r="59" spans="1:17" x14ac:dyDescent="0.25">
      <c r="A59" s="31"/>
      <c r="B59" s="31"/>
      <c r="C59" s="31"/>
      <c r="D59" s="66"/>
      <c r="E59" s="31"/>
      <c r="F59" s="32"/>
      <c r="G59" s="10" t="e">
        <f t="shared" si="12"/>
        <v>#N/A</v>
      </c>
      <c r="H59" s="50" t="str">
        <f t="shared" si="4"/>
        <v/>
      </c>
      <c r="I59" s="51" t="str">
        <f t="shared" ca="1" si="5"/>
        <v/>
      </c>
      <c r="J59" s="51" t="str">
        <f t="shared" si="6"/>
        <v/>
      </c>
      <c r="K59" s="78" t="str">
        <f t="shared" si="7"/>
        <v/>
      </c>
      <c r="L59" s="52" t="str">
        <f t="shared" ca="1" si="8"/>
        <v/>
      </c>
      <c r="M59" s="53" t="str">
        <f t="shared" si="9"/>
        <v/>
      </c>
      <c r="N59" s="44"/>
      <c r="O59" s="54" t="str">
        <f t="shared" si="13"/>
        <v/>
      </c>
      <c r="P59" s="54" t="str">
        <f t="shared" si="13"/>
        <v/>
      </c>
      <c r="Q59" s="42" t="str">
        <f t="shared" si="11"/>
        <v/>
      </c>
    </row>
    <row r="60" spans="1:17" x14ac:dyDescent="0.25">
      <c r="A60" s="31"/>
      <c r="B60" s="31"/>
      <c r="C60" s="31"/>
      <c r="D60" s="66"/>
      <c r="E60" s="31"/>
      <c r="F60" s="32"/>
      <c r="G60" s="10" t="e">
        <f t="shared" si="12"/>
        <v>#N/A</v>
      </c>
      <c r="H60" s="50" t="str">
        <f t="shared" si="4"/>
        <v/>
      </c>
      <c r="I60" s="51" t="str">
        <f t="shared" ca="1" si="5"/>
        <v/>
      </c>
      <c r="J60" s="51" t="str">
        <f t="shared" si="6"/>
        <v/>
      </c>
      <c r="K60" s="78" t="str">
        <f t="shared" si="7"/>
        <v/>
      </c>
      <c r="L60" s="52" t="str">
        <f t="shared" ca="1" si="8"/>
        <v/>
      </c>
      <c r="M60" s="53" t="str">
        <f t="shared" si="9"/>
        <v/>
      </c>
      <c r="N60" s="44"/>
      <c r="O60" s="54" t="str">
        <f t="shared" si="13"/>
        <v/>
      </c>
      <c r="P60" s="54" t="str">
        <f t="shared" si="13"/>
        <v/>
      </c>
      <c r="Q60" s="42" t="str">
        <f t="shared" si="11"/>
        <v/>
      </c>
    </row>
    <row r="61" spans="1:17" x14ac:dyDescent="0.25">
      <c r="A61" s="31"/>
      <c r="B61" s="31"/>
      <c r="C61" s="31"/>
      <c r="D61" s="66"/>
      <c r="E61" s="31"/>
      <c r="F61" s="32"/>
      <c r="G61" s="10" t="e">
        <f t="shared" si="12"/>
        <v>#N/A</v>
      </c>
      <c r="H61" s="57" t="str">
        <f t="shared" si="4"/>
        <v/>
      </c>
      <c r="I61" s="71" t="str">
        <f t="shared" ca="1" si="5"/>
        <v/>
      </c>
      <c r="J61" s="58" t="str">
        <f t="shared" si="6"/>
        <v/>
      </c>
      <c r="K61" s="79" t="str">
        <f t="shared" si="7"/>
        <v/>
      </c>
      <c r="L61" s="59" t="str">
        <f t="shared" ca="1" si="8"/>
        <v/>
      </c>
      <c r="M61" s="60" t="str">
        <f t="shared" si="9"/>
        <v/>
      </c>
      <c r="N61" s="61"/>
      <c r="O61" s="54" t="str">
        <f t="shared" si="13"/>
        <v/>
      </c>
      <c r="P61" s="54" t="str">
        <f t="shared" si="13"/>
        <v/>
      </c>
      <c r="Q61" s="42" t="str">
        <f t="shared" si="11"/>
        <v/>
      </c>
    </row>
    <row r="62" spans="1:17" x14ac:dyDescent="0.25"/>
  </sheetData>
  <sheetProtection password="CC3D" sheet="1" objects="1" scenarios="1" selectLockedCells="1"/>
  <mergeCells count="3">
    <mergeCell ref="I2:J2"/>
    <mergeCell ref="K2:L2"/>
    <mergeCell ref="O3:P3"/>
  </mergeCells>
  <conditionalFormatting sqref="A1:B1">
    <cfRule type="expression" dxfId="4" priority="4">
      <formula>($K$1=CONCATENATE(WEEKNUM(TODAY(),15)))</formula>
    </cfRule>
  </conditionalFormatting>
  <conditionalFormatting sqref="K1">
    <cfRule type="expression" dxfId="3" priority="2">
      <formula>ISBLANK($K$1)</formula>
    </cfRule>
  </conditionalFormatting>
  <conditionalFormatting sqref="A4:A61">
    <cfRule type="expression" dxfId="2" priority="1">
      <formula>IF(ISBLANK($A4),FALSE,ISERROR(VLOOKUP(A4,Leveranciers,2,FALSE)))</formula>
    </cfRule>
  </conditionalFormatting>
  <conditionalFormatting sqref="A4:N61">
    <cfRule type="expression" dxfId="1" priority="3">
      <formula>AND(OR(ISNUMBER($K4),NOT(ISERROR(VLOOKUP($D4,BijzonderheidTeken,3,FALSE)))),$D5 = "")</formula>
    </cfRule>
    <cfRule type="expression" dxfId="0" priority="5">
      <formula>IF(ISBLANK($D4),FALSE,OR(ISNUMBER($K4),IF(ISERROR(VLOOKUP($K4,BijzonderheidTeken,3,FALSE)),FALSE,NOT(VLOOKUP($K4,BijzonderheidTeken,3,FALSE)))))</formula>
    </cfRule>
  </conditionalFormatting>
  <dataValidations count="1">
    <dataValidation allowBlank="1" showInputMessage="1" showErrorMessage="1" promptTitle="Combinatiemonster = &quot;^&quot;" prompt="Om bijzonderheden automatisch in te vullen, kunnen tekens gebruikt worden. Zie hiervoor tabblad &quot;DATA&quot; kolom H:I" sqref="D4"/>
  </dataValidations>
  <pageMargins left="0.23622047244094491" right="0.23622047244094491" top="0.74803149606299213" bottom="0.74803149606299213" header="0.31496062992125984" footer="0.31496062992125984"/>
  <pageSetup paperSize="9" scale="94" fitToHeight="0" orientation="landscape" r:id="rId1"/>
  <headerFooter>
    <oddHeader>&amp;RAnalyse overzicht &amp;A</oddHeader>
    <oddFooter>&amp;CAfgedrukt op: &amp;D | &amp;T</oddFooter>
  </headerFooter>
  <rowBreaks count="1" manualBreakCount="1">
    <brk id="32" min="7" max="1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4</vt:i4>
      </vt:variant>
    </vt:vector>
  </HeadingPairs>
  <TitlesOfParts>
    <vt:vector size="6" baseType="lpstr">
      <vt:lpstr>DATA</vt:lpstr>
      <vt:lpstr>LEEG</vt:lpstr>
      <vt:lpstr>DATA!Afdrukbereik</vt:lpstr>
      <vt:lpstr>LEEG!Afdrukbereik</vt:lpstr>
      <vt:lpstr>LEEG!Afdruktitels</vt:lpstr>
      <vt:lpstr>Leveranciers</vt:lpstr>
    </vt:vector>
  </TitlesOfParts>
  <Company>Organic Trade Company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Anko Zwerver</dc:creator>
  <cp:lastModifiedBy>Anko Zwerver</cp:lastModifiedBy>
  <cp:lastPrinted>2015-04-02T14:04:05Z</cp:lastPrinted>
  <dcterms:created xsi:type="dcterms:W3CDTF">2014-05-05T13:15:05Z</dcterms:created>
  <dcterms:modified xsi:type="dcterms:W3CDTF">2015-04-02T14:05:43Z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ynDocVersionType">
    <vt:lpwstr>N</vt:lpwstr>
  </property>
  <property fmtid="{D5CDD505-2E9C-101B-9397-08002B2CF9AE}" pid="3" name="eSynDocVersionStartDate">
    <vt:lpwstr>
    </vt:lpwstr>
  </property>
  <property fmtid="{D5CDD505-2E9C-101B-9397-08002B2CF9AE}" pid="4" name="eSynDocVersion">
    <vt:lpwstr>
    </vt:lpwstr>
  </property>
  <property fmtid="{D5CDD505-2E9C-101B-9397-08002B2CF9AE}" pid="5" name="eSynDocPublish">
    <vt:lpwstr>0</vt:lpwstr>
  </property>
  <property fmtid="{D5CDD505-2E9C-101B-9397-08002B2CF9AE}" pid="6" name="eSynDocSubCategory">
    <vt:lpwstr>
    </vt:lpwstr>
  </property>
  <property fmtid="{D5CDD505-2E9C-101B-9397-08002B2CF9AE}" pid="7" name="eSynDocCategoryID">
    <vt:lpwstr>
    </vt:lpwstr>
  </property>
  <property fmtid="{D5CDD505-2E9C-101B-9397-08002B2CF9AE}" pid="8" name="eSynDocGroupDesc">
    <vt:lpwstr>Attachments &amp; notes</vt:lpwstr>
  </property>
  <property fmtid="{D5CDD505-2E9C-101B-9397-08002B2CF9AE}" pid="9" name="eSynDocGroupID">
    <vt:lpwstr>0</vt:lpwstr>
  </property>
  <property fmtid="{D5CDD505-2E9C-101B-9397-08002B2CF9AE}" pid="10" name="eSynCleanUp30-5-2014 10:41:32">
    <vt:i4>1</vt:i4>
  </property>
  <property fmtid="{D5CDD505-2E9C-101B-9397-08002B2CF9AE}" pid="11" name="eSynCleanUp3-6-2014 11:50:44">
    <vt:i4>1</vt:i4>
  </property>
  <property fmtid="{D5CDD505-2E9C-101B-9397-08002B2CF9AE}" pid="12" name="eSynCleanUp6-6-2014 10:33:36">
    <vt:i4>1</vt:i4>
  </property>
  <property fmtid="{D5CDD505-2E9C-101B-9397-08002B2CF9AE}" pid="13" name="eSynCleanUp6-6-2014 11:33:51">
    <vt:i4>1</vt:i4>
  </property>
  <property fmtid="{D5CDD505-2E9C-101B-9397-08002B2CF9AE}" pid="14" name="eSynCleanUp12-6-2014 11:56:05">
    <vt:i4>1</vt:i4>
  </property>
  <property fmtid="{D5CDD505-2E9C-101B-9397-08002B2CF9AE}" pid="15" name="eSynCleanUp13-6-2014 14:37:33">
    <vt:i4>1</vt:i4>
  </property>
  <property fmtid="{D5CDD505-2E9C-101B-9397-08002B2CF9AE}" pid="16" name="eSynCleanUp26-1-2015 9:01:31">
    <vt:i4>1</vt:i4>
  </property>
  <property fmtid="{D5CDD505-2E9C-101B-9397-08002B2CF9AE}" pid="17" name="eSynCleanUp26-1-2015 10:07:16">
    <vt:i4>1</vt:i4>
  </property>
  <property fmtid="{D5CDD505-2E9C-101B-9397-08002B2CF9AE}" pid="18" name="eSynCleanUp26-1-2015 13:04:19">
    <vt:i4>1</vt:i4>
  </property>
  <property fmtid="{D5CDD505-2E9C-101B-9397-08002B2CF9AE}" pid="19" name="eSynCleanUp2-2-2015 9:10:58">
    <vt:i4>1</vt:i4>
  </property>
  <property fmtid="{D5CDD505-2E9C-101B-9397-08002B2CF9AE}" pid="20" name="eSynCleanUp2-2-2015 12:30:41">
    <vt:i4>1</vt:i4>
  </property>
  <property fmtid="{D5CDD505-2E9C-101B-9397-08002B2CF9AE}" pid="21" name="eSynCleanUp12-2-2015 16:13:44">
    <vt:i4>1</vt:i4>
  </property>
  <property fmtid="{D5CDD505-2E9C-101B-9397-08002B2CF9AE}" pid="22" name="eSynCleanUp16-2-2015 10:55:50">
    <vt:i4>1</vt:i4>
  </property>
  <property fmtid="{D5CDD505-2E9C-101B-9397-08002B2CF9AE}" pid="23" name="eSynCleanUp20-2-2015 14:11:59">
    <vt:i4>1</vt:i4>
  </property>
  <property fmtid="{D5CDD505-2E9C-101B-9397-08002B2CF9AE}" pid="24" name="eSynCleanUp20-2-2015 14:20:29">
    <vt:i4>1</vt:i4>
  </property>
  <property fmtid="{D5CDD505-2E9C-101B-9397-08002B2CF9AE}" pid="25" name="eSynCleanUp2-3-2015 13:50:43">
    <vt:i4>1</vt:i4>
  </property>
  <property fmtid="{D5CDD505-2E9C-101B-9397-08002B2CF9AE}" pid="26" name="eSynCleanUp3-3-2015 12:16:10">
    <vt:i4>1</vt:i4>
  </property>
  <property fmtid="{D5CDD505-2E9C-101B-9397-08002B2CF9AE}" pid="27" name="eSynCleanUp6-3-2015 17:22:05">
    <vt:i4>1</vt:i4>
  </property>
  <property fmtid="{D5CDD505-2E9C-101B-9397-08002B2CF9AE}" pid="28" name="eSynCleanUp12-3-2015 8:42:10">
    <vt:i4>1</vt:i4>
  </property>
  <property fmtid="{D5CDD505-2E9C-101B-9397-08002B2CF9AE}" pid="29" name="eSynCleanUp13-3-2015 16:40:53">
    <vt:i4>1</vt:i4>
  </property>
  <property fmtid="{D5CDD505-2E9C-101B-9397-08002B2CF9AE}" pid="30" name="eSynDocGuid">
    <vt:lpwstr>e0cd6370-fa76-46f4-88c2-31aff2e2954e</vt:lpwstr>
  </property>
  <property fmtid="{D5CDD505-2E9C-101B-9397-08002B2CF9AE}" pid="31" name="eSynDocHID">
    <vt:i4>335359</vt:i4>
  </property>
  <property fmtid="{D5CDD505-2E9C-101B-9397-08002B2CF9AE}" pid="32" name="eSynDocSubject">
    <vt:lpwstr>Analyse week overzicht</vt:lpwstr>
  </property>
  <property fmtid="{D5CDD505-2E9C-101B-9397-08002B2CF9AE}" pid="33" name="eSynDocTypeID">
    <vt:i4>158</vt:i4>
  </property>
  <property fmtid="{D5CDD505-2E9C-101B-9397-08002B2CF9AE}" pid="34" name="eSynDocSummary">
    <vt:lpwstr/>
  </property>
  <property fmtid="{D5CDD505-2E9C-101B-9397-08002B2CF9AE}" pid="35" name="eSynDocNewsType">
    <vt:i4>0</vt:i4>
  </property>
  <property fmtid="{D5CDD505-2E9C-101B-9397-08002B2CF9AE}" pid="36" name="eSynDocParentDocument">
    <vt:lpwstr/>
  </property>
  <property fmtid="{D5CDD505-2E9C-101B-9397-08002B2CF9AE}" pid="37" name="eSynDocParentDocumentHID">
    <vt:lpwstr/>
  </property>
  <property fmtid="{D5CDD505-2E9C-101B-9397-08002B2CF9AE}" pid="38" name="eSynDocParentDocumentSubject">
    <vt:lpwstr/>
  </property>
  <property fmtid="{D5CDD505-2E9C-101B-9397-08002B2CF9AE}" pid="39" name="eSynDocAccountID">
    <vt:lpwstr/>
  </property>
  <property fmtid="{D5CDD505-2E9C-101B-9397-08002B2CF9AE}" pid="40" name="eSynDocAccount">
    <vt:lpwstr/>
  </property>
  <property fmtid="{D5CDD505-2E9C-101B-9397-08002B2CF9AE}" pid="41" name="eSynDocAccountDesc">
    <vt:lpwstr/>
  </property>
  <property fmtid="{D5CDD505-2E9C-101B-9397-08002B2CF9AE}" pid="42" name="eSynDocContactID">
    <vt:lpwstr/>
  </property>
  <property fmtid="{D5CDD505-2E9C-101B-9397-08002B2CF9AE}" pid="43" name="eSynDocContactDesc">
    <vt:lpwstr/>
  </property>
  <property fmtid="{D5CDD505-2E9C-101B-9397-08002B2CF9AE}" pid="44" name="eSynDocAcctContact">
    <vt:lpwstr/>
  </property>
  <property fmtid="{D5CDD505-2E9C-101B-9397-08002B2CF9AE}" pid="45" name="eSynDocOpportunityID">
    <vt:lpwstr/>
  </property>
  <property fmtid="{D5CDD505-2E9C-101B-9397-08002B2CF9AE}" pid="46" name="eSynDocOpportunityDesc">
    <vt:lpwstr/>
  </property>
  <property fmtid="{D5CDD505-2E9C-101B-9397-08002B2CF9AE}" pid="47" name="eSynDocResource">
    <vt:lpwstr>18</vt:lpwstr>
  </property>
  <property fmtid="{D5CDD505-2E9C-101B-9397-08002B2CF9AE}" pid="48" name="eSynDocResourceDesc">
    <vt:lpwstr>Anko Zwerver</vt:lpwstr>
  </property>
  <property fmtid="{D5CDD505-2E9C-101B-9397-08002B2CF9AE}" pid="49" name="eSynDocProjectNr">
    <vt:lpwstr/>
  </property>
  <property fmtid="{D5CDD505-2E9C-101B-9397-08002B2CF9AE}" pid="50" name="eSynDocProjectDesc">
    <vt:lpwstr/>
  </property>
  <property fmtid="{D5CDD505-2E9C-101B-9397-08002B2CF9AE}" pid="51" name="eSynDocDivision">
    <vt:lpwstr/>
  </property>
  <property fmtid="{D5CDD505-2E9C-101B-9397-08002B2CF9AE}" pid="52" name="eSynDocDivisionDesc">
    <vt:lpwstr/>
  </property>
  <property fmtid="{D5CDD505-2E9C-101B-9397-08002B2CF9AE}" pid="53" name="eSynDocAssortment">
    <vt:lpwstr>AGF</vt:lpwstr>
  </property>
  <property fmtid="{D5CDD505-2E9C-101B-9397-08002B2CF9AE}" pid="54" name="eSynDocItem">
    <vt:lpwstr>DIV</vt:lpwstr>
  </property>
  <property fmtid="{D5CDD505-2E9C-101B-9397-08002B2CF9AE}" pid="55" name="eSynDocItemDesc">
    <vt:lpwstr>Divers</vt:lpwstr>
  </property>
  <property fmtid="{D5CDD505-2E9C-101B-9397-08002B2CF9AE}" pid="56" name="eSynDocSerialNumber">
    <vt:lpwstr/>
  </property>
  <property fmtid="{D5CDD505-2E9C-101B-9397-08002B2CF9AE}" pid="57" name="eSynDocSerialDesc">
    <vt:lpwstr/>
  </property>
  <property fmtid="{D5CDD505-2E9C-101B-9397-08002B2CF9AE}" pid="58" name="eSynTransactionEntryKey">
    <vt:lpwstr/>
  </property>
  <property fmtid="{D5CDD505-2E9C-101B-9397-08002B2CF9AE}" pid="59" name="eSynDocTransactionDesc">
    <vt:lpwstr/>
  </property>
  <property fmtid="{D5CDD505-2E9C-101B-9397-08002B2CF9AE}" pid="60" name="eSynDocLanguageCode">
    <vt:lpwstr/>
  </property>
  <property fmtid="{D5CDD505-2E9C-101B-9397-08002B2CF9AE}" pid="61" name="eSynDocSecurity">
    <vt:i4>10</vt:i4>
  </property>
  <property fmtid="{D5CDD505-2E9C-101B-9397-08002B2CF9AE}" pid="62" name="eSynDocbAttachment">
    <vt:bool>true</vt:bool>
  </property>
  <property fmtid="{D5CDD505-2E9C-101B-9397-08002B2CF9AE}" pid="63" name="eSynDocAttachmentID">
    <vt:lpwstr>fec83db3-5e7c-41a6-a057-aeb2a728d4f1</vt:lpwstr>
  </property>
  <property fmtid="{D5CDD505-2E9C-101B-9397-08002B2CF9AE}" pid="64" name="eSynDocAttachFileName">
    <vt:lpwstr>AnalyseWeekOverzicht_v1.xlsm</vt:lpwstr>
  </property>
  <property fmtid="{D5CDD505-2E9C-101B-9397-08002B2CF9AE}" pid="65" name="eSynDocURL">
    <vt:lpwstr>http://synergy/</vt:lpwstr>
  </property>
  <property fmtid="{D5CDD505-2E9C-101B-9397-08002B2CF9AE}" pid="66" name="eSynDocSavedToSynergy">
    <vt:bool>true</vt:bool>
  </property>
  <property fmtid="{D5CDD505-2E9C-101B-9397-08002B2CF9AE}" pid="67" name="eSynDocIsMailDocument">
    <vt:bool>false</vt:bool>
  </property>
</Properties>
</file>